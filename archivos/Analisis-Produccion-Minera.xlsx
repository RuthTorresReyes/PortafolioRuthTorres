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390edbe73b2df6b/Escritorio/"/>
    </mc:Choice>
  </mc:AlternateContent>
  <xr:revisionPtr revIDLastSave="1946" documentId="13_ncr:1_{8770FDF8-7FD6-46F7-B7D5-AAC183A9A553}" xr6:coauthVersionLast="47" xr6:coauthVersionMax="47" xr10:uidLastSave="{89D0465C-3800-4972-8EAD-5E64FE23CAD6}"/>
  <bookViews>
    <workbookView xWindow="-108" yWindow="-108" windowWidth="23256" windowHeight="12576" activeTab="2" xr2:uid="{00000000-000D-0000-FFFF-FFFF00000000}"/>
  </bookViews>
  <sheets>
    <sheet name="BD" sheetId="1" r:id="rId1"/>
    <sheet name="TDINAMICA" sheetId="14" r:id="rId2"/>
    <sheet name="DASHBOARD" sheetId="18" r:id="rId3"/>
    <sheet name="Calculos y preguntas" sheetId="6" r:id="rId4"/>
    <sheet name="Aux" sheetId="4" r:id="rId5"/>
    <sheet name="Resumen de analisis" sheetId="19" r:id="rId6"/>
  </sheets>
  <definedNames>
    <definedName name="SegmentaciónDeDatos_Mes_Ingreso">#N/A</definedName>
    <definedName name="SegmentaciónDeDatos_Mineral">#N/A</definedName>
    <definedName name="SegmentaciónDeDatos_Región">#N/A</definedName>
    <definedName name="SegmentaciónDeDatos_Tecnología_Utilizada">#N/A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D54" i="14"/>
  <c r="B54" i="14"/>
  <c r="D51" i="14"/>
  <c r="S315" i="1"/>
  <c r="A49" i="14"/>
  <c r="X282" i="1"/>
  <c r="X36" i="1"/>
  <c r="X315" i="1"/>
  <c r="X169" i="1"/>
  <c r="X307" i="1"/>
  <c r="X338" i="1"/>
  <c r="X439" i="1"/>
  <c r="X284" i="1"/>
  <c r="X430" i="1"/>
  <c r="X198" i="1"/>
  <c r="X204" i="1"/>
  <c r="X244" i="1"/>
  <c r="X394" i="1"/>
  <c r="X372" i="1"/>
  <c r="X289" i="1"/>
  <c r="X61" i="1"/>
  <c r="X369" i="1"/>
  <c r="X103" i="1"/>
  <c r="X90" i="1"/>
  <c r="X67" i="1"/>
  <c r="X245" i="1"/>
  <c r="X444" i="1"/>
  <c r="X87" i="1"/>
  <c r="X474" i="1"/>
  <c r="X415" i="1"/>
  <c r="X41" i="1"/>
  <c r="X176" i="1"/>
  <c r="X76" i="1"/>
  <c r="X380" i="1"/>
  <c r="X80" i="1"/>
  <c r="X34" i="1"/>
  <c r="X197" i="1"/>
  <c r="X441" i="1"/>
  <c r="X219" i="1"/>
  <c r="X337" i="1"/>
  <c r="X342" i="1"/>
  <c r="X37" i="1"/>
  <c r="X95" i="1"/>
  <c r="X267" i="1"/>
  <c r="X146" i="1"/>
  <c r="X477" i="1"/>
  <c r="X60" i="1"/>
  <c r="X92" i="1"/>
  <c r="X319" i="1"/>
  <c r="X138" i="1"/>
  <c r="X3" i="1"/>
  <c r="X486" i="1"/>
  <c r="X73" i="1"/>
  <c r="X360" i="1"/>
  <c r="X58" i="1"/>
  <c r="X102" i="1"/>
  <c r="X33" i="1"/>
  <c r="X120" i="1"/>
  <c r="X132" i="1"/>
  <c r="X235" i="1"/>
  <c r="X177" i="1"/>
  <c r="X43" i="1"/>
  <c r="X151" i="1"/>
  <c r="X461" i="1"/>
  <c r="X457" i="1"/>
  <c r="X343" i="1"/>
  <c r="X379" i="1"/>
  <c r="X491" i="1"/>
  <c r="X361" i="1"/>
  <c r="X377" i="1"/>
  <c r="X35" i="1"/>
  <c r="X69" i="1"/>
  <c r="X257" i="1"/>
  <c r="X110" i="1"/>
  <c r="X78" i="1"/>
  <c r="X99" i="1"/>
  <c r="X44" i="1"/>
  <c r="X113" i="1"/>
  <c r="X326" i="1"/>
  <c r="X482" i="1"/>
  <c r="X401" i="1"/>
  <c r="X374" i="1"/>
  <c r="X32" i="1"/>
  <c r="X285" i="1"/>
  <c r="X252" i="1"/>
  <c r="X320" i="1"/>
  <c r="X180" i="1"/>
  <c r="X473" i="1"/>
  <c r="X273" i="1"/>
  <c r="X292" i="1"/>
  <c r="X14" i="1"/>
  <c r="X240" i="1"/>
  <c r="X440" i="1"/>
  <c r="X358" i="1"/>
  <c r="X8" i="1"/>
  <c r="X163" i="1"/>
  <c r="X479" i="1"/>
  <c r="X231" i="1"/>
  <c r="X324" i="1"/>
  <c r="X470" i="1"/>
  <c r="X229" i="1"/>
  <c r="X398" i="1"/>
  <c r="X339" i="1"/>
  <c r="X370" i="1"/>
  <c r="X332" i="1"/>
  <c r="X149" i="1"/>
  <c r="X165" i="1"/>
  <c r="X104" i="1"/>
  <c r="X27" i="1"/>
  <c r="X449" i="1"/>
  <c r="X268" i="1"/>
  <c r="X443" i="1"/>
  <c r="X466" i="1"/>
  <c r="X274" i="1"/>
  <c r="X50" i="1"/>
  <c r="X218" i="1"/>
  <c r="X127" i="1"/>
  <c r="X12" i="1"/>
  <c r="X154" i="1"/>
  <c r="X250" i="1"/>
  <c r="X133" i="1"/>
  <c r="X116" i="1"/>
  <c r="X54" i="1"/>
  <c r="X303" i="1"/>
  <c r="X485" i="1"/>
  <c r="X453" i="1"/>
  <c r="X378" i="1"/>
  <c r="X383" i="1"/>
  <c r="X234" i="1"/>
  <c r="X22" i="1"/>
  <c r="X179" i="1"/>
  <c r="X85" i="1"/>
  <c r="X294" i="1"/>
  <c r="X447" i="1"/>
  <c r="X490" i="1"/>
  <c r="X278" i="1"/>
  <c r="X26" i="1"/>
  <c r="X276" i="1"/>
  <c r="X283" i="1"/>
  <c r="X384" i="1"/>
  <c r="X259" i="1"/>
  <c r="X279" i="1"/>
  <c r="X136" i="1"/>
  <c r="X200" i="1"/>
  <c r="X351" i="1"/>
  <c r="X11" i="1"/>
  <c r="X199" i="1"/>
  <c r="X386" i="1"/>
  <c r="X472" i="1"/>
  <c r="X172" i="1"/>
  <c r="X442" i="1"/>
  <c r="X476" i="1"/>
  <c r="X175" i="1"/>
  <c r="X145" i="1"/>
  <c r="X221" i="1"/>
  <c r="X246" i="1"/>
  <c r="X434" i="1"/>
  <c r="X115" i="1"/>
  <c r="X465" i="1"/>
  <c r="X112" i="1"/>
  <c r="X57" i="1"/>
  <c r="X352" i="1"/>
  <c r="X446" i="1"/>
  <c r="X301" i="1"/>
  <c r="X341" i="1"/>
  <c r="X489" i="1"/>
  <c r="X450" i="1"/>
  <c r="X270" i="1"/>
  <c r="X168" i="1"/>
  <c r="X436" i="1"/>
  <c r="X407" i="1"/>
  <c r="X340" i="1"/>
  <c r="X196" i="1"/>
  <c r="X248" i="1"/>
  <c r="X232" i="1"/>
  <c r="X201" i="1"/>
  <c r="X141" i="1"/>
  <c r="X316" i="1"/>
  <c r="X131" i="1"/>
  <c r="X300" i="1"/>
  <c r="X9" i="1"/>
  <c r="X142" i="1"/>
  <c r="X437" i="1"/>
  <c r="X94" i="1"/>
  <c r="X366" i="1"/>
  <c r="X108" i="1"/>
  <c r="X395" i="1"/>
  <c r="X203" i="1"/>
  <c r="X192" i="1"/>
  <c r="X275" i="1"/>
  <c r="X48" i="1"/>
  <c r="X423" i="1"/>
  <c r="X454" i="1"/>
  <c r="X181" i="1"/>
  <c r="X353" i="1"/>
  <c r="X396" i="1"/>
  <c r="X243" i="1"/>
  <c r="X70" i="1"/>
  <c r="X467" i="1"/>
  <c r="X173" i="1"/>
  <c r="X140" i="1"/>
  <c r="X471" i="1"/>
  <c r="X368" i="1"/>
  <c r="X313" i="1"/>
  <c r="X84" i="1"/>
  <c r="X403" i="1"/>
  <c r="X499" i="1"/>
  <c r="X413" i="1"/>
  <c r="X348" i="1"/>
  <c r="X391" i="1"/>
  <c r="X195" i="1"/>
  <c r="X191" i="1"/>
  <c r="X185" i="1"/>
  <c r="X144" i="1"/>
  <c r="X183" i="1"/>
  <c r="X182" i="1"/>
  <c r="X210" i="1"/>
  <c r="X205" i="1"/>
  <c r="X309" i="1"/>
  <c r="X281" i="1"/>
  <c r="X298" i="1"/>
  <c r="X464" i="1"/>
  <c r="X280" i="1"/>
  <c r="X493" i="1"/>
  <c r="X329" i="1"/>
  <c r="X166" i="1"/>
  <c r="X458" i="1"/>
  <c r="X247" i="1"/>
  <c r="X7" i="1"/>
  <c r="X264" i="1"/>
  <c r="X209" i="1"/>
  <c r="X469" i="1"/>
  <c r="X96" i="1"/>
  <c r="X194" i="1"/>
  <c r="X452" i="1"/>
  <c r="X336" i="1"/>
  <c r="X223" i="1"/>
  <c r="X119" i="1"/>
  <c r="X328" i="1"/>
  <c r="X258" i="1"/>
  <c r="X117" i="1"/>
  <c r="X122" i="1"/>
  <c r="X109" i="1"/>
  <c r="X79" i="1"/>
  <c r="X420" i="1"/>
  <c r="X402" i="1"/>
  <c r="X421" i="1"/>
  <c r="X266" i="1"/>
  <c r="X211" i="1"/>
  <c r="X214" i="1"/>
  <c r="X425" i="1"/>
  <c r="X20" i="1"/>
  <c r="X152" i="1"/>
  <c r="X98" i="1"/>
  <c r="X460" i="1"/>
  <c r="X156" i="1"/>
  <c r="X29" i="1"/>
  <c r="X305" i="1"/>
  <c r="X178" i="1"/>
  <c r="X147" i="1"/>
  <c r="X129" i="1"/>
  <c r="X125" i="1"/>
  <c r="X387" i="1"/>
  <c r="X306" i="1"/>
  <c r="X217" i="1"/>
  <c r="X71" i="1"/>
  <c r="X224" i="1"/>
  <c r="X314" i="1"/>
  <c r="X322" i="1"/>
  <c r="X296" i="1"/>
  <c r="X89" i="1"/>
  <c r="X6" i="1"/>
  <c r="X483" i="1"/>
  <c r="X51" i="1"/>
  <c r="X13" i="1"/>
  <c r="X287" i="1"/>
  <c r="X25" i="1"/>
  <c r="X111" i="1"/>
  <c r="X355" i="1"/>
  <c r="X481" i="1"/>
  <c r="X334" i="1"/>
  <c r="X167" i="1"/>
  <c r="X254" i="1"/>
  <c r="X21" i="1"/>
  <c r="X161" i="1"/>
  <c r="X162" i="1"/>
  <c r="X293" i="1"/>
  <c r="X487" i="1"/>
  <c r="X15" i="1"/>
  <c r="X170" i="1"/>
  <c r="X19" i="1"/>
  <c r="X153" i="1"/>
  <c r="X101" i="1"/>
  <c r="X40" i="1"/>
  <c r="X416" i="1"/>
  <c r="X312" i="1"/>
  <c r="X400" i="1"/>
  <c r="X150" i="1"/>
  <c r="X251" i="1"/>
  <c r="X468" i="1"/>
  <c r="X265" i="1"/>
  <c r="X404" i="1"/>
  <c r="X139" i="1"/>
  <c r="X389" i="1"/>
  <c r="X148" i="1"/>
  <c r="X16" i="1"/>
  <c r="X262" i="1"/>
  <c r="X158" i="1"/>
  <c r="X31" i="1"/>
  <c r="X302" i="1"/>
  <c r="X97" i="1"/>
  <c r="X501" i="1"/>
  <c r="X42" i="1"/>
  <c r="X62" i="1"/>
  <c r="X412" i="1"/>
  <c r="X233" i="1"/>
  <c r="X411" i="1"/>
  <c r="X333" i="1"/>
  <c r="X143" i="1"/>
  <c r="X45" i="1"/>
  <c r="X432" i="1"/>
  <c r="X53" i="1"/>
  <c r="X359" i="1"/>
  <c r="X418" i="1"/>
  <c r="X236" i="1"/>
  <c r="X202" i="1"/>
  <c r="X83" i="1"/>
  <c r="X345" i="1"/>
  <c r="X2" i="1"/>
  <c r="X388" i="1"/>
  <c r="X286" i="1"/>
  <c r="X215" i="1"/>
  <c r="X308" i="1"/>
  <c r="X46" i="1"/>
  <c r="X5" i="1"/>
  <c r="X346" i="1"/>
  <c r="X456" i="1"/>
  <c r="X24" i="1"/>
  <c r="X75" i="1"/>
  <c r="X393" i="1"/>
  <c r="X330" i="1"/>
  <c r="X500" i="1"/>
  <c r="X433" i="1"/>
  <c r="X409" i="1"/>
  <c r="X118" i="1"/>
  <c r="X354" i="1"/>
  <c r="X463" i="1"/>
  <c r="X226" i="1"/>
  <c r="X238" i="1"/>
  <c r="X291" i="1"/>
  <c r="X128" i="1"/>
  <c r="X317" i="1"/>
  <c r="X310" i="1"/>
  <c r="X462" i="1"/>
  <c r="X220" i="1"/>
  <c r="X382" i="1"/>
  <c r="X227" i="1"/>
  <c r="X376" i="1"/>
  <c r="X208" i="1"/>
  <c r="X362" i="1"/>
  <c r="X392" i="1"/>
  <c r="X74" i="1"/>
  <c r="X438" i="1"/>
  <c r="X225" i="1"/>
  <c r="X159" i="1"/>
  <c r="X123" i="1"/>
  <c r="X321" i="1"/>
  <c r="X263" i="1"/>
  <c r="X331" i="1"/>
  <c r="X335" i="1"/>
  <c r="X367" i="1"/>
  <c r="X498" i="1"/>
  <c r="X272" i="1"/>
  <c r="X121" i="1"/>
  <c r="X10" i="1"/>
  <c r="X63" i="1"/>
  <c r="X448" i="1"/>
  <c r="X390" i="1"/>
  <c r="X47" i="1"/>
  <c r="X496" i="1"/>
  <c r="X325" i="1"/>
  <c r="X344" i="1"/>
  <c r="X494" i="1"/>
  <c r="X480" i="1"/>
  <c r="X397" i="1"/>
  <c r="X406" i="1"/>
  <c r="X419" i="1"/>
  <c r="X213" i="1"/>
  <c r="X318" i="1"/>
  <c r="X363" i="1"/>
  <c r="X237" i="1"/>
  <c r="X86" i="1"/>
  <c r="X206" i="1"/>
  <c r="X81" i="1"/>
  <c r="X277" i="1"/>
  <c r="X23" i="1"/>
  <c r="X327" i="1"/>
  <c r="X30" i="1"/>
  <c r="X171" i="1"/>
  <c r="X349" i="1"/>
  <c r="X399" i="1"/>
  <c r="X381" i="1"/>
  <c r="X323" i="1"/>
  <c r="X68" i="1"/>
  <c r="X424" i="1"/>
  <c r="X72" i="1"/>
  <c r="X435" i="1"/>
  <c r="X371" i="1"/>
  <c r="X459" i="1"/>
  <c r="X269" i="1"/>
  <c r="X107" i="1"/>
  <c r="X52" i="1"/>
  <c r="X64" i="1"/>
  <c r="X28" i="1"/>
  <c r="X422" i="1"/>
  <c r="X431" i="1"/>
  <c r="X356" i="1"/>
  <c r="X256" i="1"/>
  <c r="X492" i="1"/>
  <c r="X241" i="1"/>
  <c r="X304" i="1"/>
  <c r="X255" i="1"/>
  <c r="X190" i="1"/>
  <c r="X373" i="1"/>
  <c r="X135" i="1"/>
  <c r="X124" i="1"/>
  <c r="X385" i="1"/>
  <c r="X155" i="1"/>
  <c r="X288" i="1"/>
  <c r="X189" i="1"/>
  <c r="X261" i="1"/>
  <c r="X126" i="1"/>
  <c r="X134" i="1"/>
  <c r="X106" i="1"/>
  <c r="X410" i="1"/>
  <c r="X299" i="1"/>
  <c r="X417" i="1"/>
  <c r="X426" i="1"/>
  <c r="X160" i="1"/>
  <c r="X414" i="1"/>
  <c r="X260" i="1"/>
  <c r="X228" i="1"/>
  <c r="X451" i="1"/>
  <c r="X357" i="1"/>
  <c r="X184" i="1"/>
  <c r="X347" i="1"/>
  <c r="X56" i="1"/>
  <c r="X311" i="1"/>
  <c r="X39" i="1"/>
  <c r="X82" i="1"/>
  <c r="X365" i="1"/>
  <c r="X4" i="1"/>
  <c r="X484" i="1"/>
  <c r="X408" i="1"/>
  <c r="X18" i="1"/>
  <c r="X495" i="1"/>
  <c r="X497" i="1"/>
  <c r="X222" i="1"/>
  <c r="X88" i="1"/>
  <c r="X475" i="1"/>
  <c r="X188" i="1"/>
  <c r="X297" i="1"/>
  <c r="X445" i="1"/>
  <c r="X230" i="1"/>
  <c r="X212" i="1"/>
  <c r="X55" i="1"/>
  <c r="X137" i="1"/>
  <c r="X207" i="1"/>
  <c r="X59" i="1"/>
  <c r="X66" i="1"/>
  <c r="X271" i="1"/>
  <c r="X17" i="1"/>
  <c r="X100" i="1"/>
  <c r="X488" i="1"/>
  <c r="X187" i="1"/>
  <c r="X157" i="1"/>
  <c r="X186" i="1"/>
  <c r="X193" i="1"/>
  <c r="X364" i="1"/>
  <c r="X350" i="1"/>
  <c r="X174" i="1"/>
  <c r="X216" i="1"/>
  <c r="X455" i="1"/>
  <c r="X38" i="1"/>
  <c r="X253" i="1"/>
  <c r="X290" i="1"/>
  <c r="X114" i="1"/>
  <c r="X239" i="1"/>
  <c r="X91" i="1"/>
  <c r="X375" i="1"/>
  <c r="X49" i="1"/>
  <c r="X429" i="1"/>
  <c r="X249" i="1"/>
  <c r="X164" i="1"/>
  <c r="X77" i="1"/>
  <c r="X427" i="1"/>
  <c r="X130" i="1"/>
  <c r="X65" i="1"/>
  <c r="X428" i="1"/>
  <c r="X93" i="1"/>
  <c r="X242" i="1"/>
  <c r="X405" i="1"/>
  <c r="X295" i="1"/>
  <c r="X478" i="1"/>
  <c r="X105" i="1"/>
  <c r="W307" i="1"/>
  <c r="B39" i="6"/>
  <c r="B33" i="6"/>
  <c r="B24" i="6"/>
  <c r="B21" i="6"/>
  <c r="B27" i="6"/>
  <c r="B15" i="6"/>
  <c r="B6" i="6"/>
  <c r="B3" i="6"/>
  <c r="N282" i="1"/>
  <c r="N36" i="1"/>
  <c r="N315" i="1"/>
  <c r="N169" i="1"/>
  <c r="N307" i="1"/>
  <c r="N338" i="1"/>
  <c r="N439" i="1"/>
  <c r="N284" i="1"/>
  <c r="N430" i="1"/>
  <c r="N198" i="1"/>
  <c r="N204" i="1"/>
  <c r="N244" i="1"/>
  <c r="N394" i="1"/>
  <c r="N372" i="1"/>
  <c r="N289" i="1"/>
  <c r="N61" i="1"/>
  <c r="N369" i="1"/>
  <c r="N103" i="1"/>
  <c r="N90" i="1"/>
  <c r="N67" i="1"/>
  <c r="N245" i="1"/>
  <c r="N444" i="1"/>
  <c r="N87" i="1"/>
  <c r="N474" i="1"/>
  <c r="N415" i="1"/>
  <c r="N41" i="1"/>
  <c r="N176" i="1"/>
  <c r="N76" i="1"/>
  <c r="N380" i="1"/>
  <c r="N80" i="1"/>
  <c r="N34" i="1"/>
  <c r="N197" i="1"/>
  <c r="N441" i="1"/>
  <c r="N219" i="1"/>
  <c r="N337" i="1"/>
  <c r="N342" i="1"/>
  <c r="N37" i="1"/>
  <c r="N95" i="1"/>
  <c r="N267" i="1"/>
  <c r="N146" i="1"/>
  <c r="N477" i="1"/>
  <c r="N60" i="1"/>
  <c r="N92" i="1"/>
  <c r="N319" i="1"/>
  <c r="N138" i="1"/>
  <c r="N3" i="1"/>
  <c r="N486" i="1"/>
  <c r="N73" i="1"/>
  <c r="N360" i="1"/>
  <c r="N58" i="1"/>
  <c r="N102" i="1"/>
  <c r="N33" i="1"/>
  <c r="N120" i="1"/>
  <c r="N132" i="1"/>
  <c r="N235" i="1"/>
  <c r="N177" i="1"/>
  <c r="N43" i="1"/>
  <c r="N151" i="1"/>
  <c r="N461" i="1"/>
  <c r="N457" i="1"/>
  <c r="N343" i="1"/>
  <c r="N379" i="1"/>
  <c r="N491" i="1"/>
  <c r="N361" i="1"/>
  <c r="N377" i="1"/>
  <c r="N35" i="1"/>
  <c r="N69" i="1"/>
  <c r="N257" i="1"/>
  <c r="N110" i="1"/>
  <c r="N78" i="1"/>
  <c r="N99" i="1"/>
  <c r="N44" i="1"/>
  <c r="N113" i="1"/>
  <c r="N326" i="1"/>
  <c r="N482" i="1"/>
  <c r="N401" i="1"/>
  <c r="N374" i="1"/>
  <c r="N32" i="1"/>
  <c r="N285" i="1"/>
  <c r="N252" i="1"/>
  <c r="N320" i="1"/>
  <c r="N180" i="1"/>
  <c r="N473" i="1"/>
  <c r="N273" i="1"/>
  <c r="N292" i="1"/>
  <c r="N14" i="1"/>
  <c r="N240" i="1"/>
  <c r="N440" i="1"/>
  <c r="N358" i="1"/>
  <c r="N8" i="1"/>
  <c r="N163" i="1"/>
  <c r="N479" i="1"/>
  <c r="N231" i="1"/>
  <c r="N324" i="1"/>
  <c r="N470" i="1"/>
  <c r="N229" i="1"/>
  <c r="N398" i="1"/>
  <c r="N339" i="1"/>
  <c r="N370" i="1"/>
  <c r="N332" i="1"/>
  <c r="N149" i="1"/>
  <c r="N165" i="1"/>
  <c r="N104" i="1"/>
  <c r="N27" i="1"/>
  <c r="N449" i="1"/>
  <c r="N268" i="1"/>
  <c r="N443" i="1"/>
  <c r="N466" i="1"/>
  <c r="N274" i="1"/>
  <c r="N50" i="1"/>
  <c r="N218" i="1"/>
  <c r="N127" i="1"/>
  <c r="N12" i="1"/>
  <c r="N154" i="1"/>
  <c r="N250" i="1"/>
  <c r="N133" i="1"/>
  <c r="N116" i="1"/>
  <c r="N54" i="1"/>
  <c r="N303" i="1"/>
  <c r="N485" i="1"/>
  <c r="N453" i="1"/>
  <c r="N378" i="1"/>
  <c r="N383" i="1"/>
  <c r="N234" i="1"/>
  <c r="N22" i="1"/>
  <c r="N179" i="1"/>
  <c r="N85" i="1"/>
  <c r="N294" i="1"/>
  <c r="N447" i="1"/>
  <c r="N490" i="1"/>
  <c r="N278" i="1"/>
  <c r="N26" i="1"/>
  <c r="N276" i="1"/>
  <c r="N283" i="1"/>
  <c r="N384" i="1"/>
  <c r="N259" i="1"/>
  <c r="N279" i="1"/>
  <c r="N136" i="1"/>
  <c r="N200" i="1"/>
  <c r="N351" i="1"/>
  <c r="N199" i="1"/>
  <c r="N386" i="1"/>
  <c r="N472" i="1"/>
  <c r="N172" i="1"/>
  <c r="N442" i="1"/>
  <c r="N476" i="1"/>
  <c r="N175" i="1"/>
  <c r="N145" i="1"/>
  <c r="N221" i="1"/>
  <c r="N246" i="1"/>
  <c r="N434" i="1"/>
  <c r="N115" i="1"/>
  <c r="N465" i="1"/>
  <c r="N112" i="1"/>
  <c r="N57" i="1"/>
  <c r="N352" i="1"/>
  <c r="N446" i="1"/>
  <c r="N301" i="1"/>
  <c r="N341" i="1"/>
  <c r="N489" i="1"/>
  <c r="N450" i="1"/>
  <c r="N270" i="1"/>
  <c r="N168" i="1"/>
  <c r="N436" i="1"/>
  <c r="N407" i="1"/>
  <c r="N340" i="1"/>
  <c r="N196" i="1"/>
  <c r="N248" i="1"/>
  <c r="N232" i="1"/>
  <c r="N201" i="1"/>
  <c r="N141" i="1"/>
  <c r="N316" i="1"/>
  <c r="N131" i="1"/>
  <c r="N300" i="1"/>
  <c r="N9" i="1"/>
  <c r="N142" i="1"/>
  <c r="N437" i="1"/>
  <c r="N94" i="1"/>
  <c r="N366" i="1"/>
  <c r="N108" i="1"/>
  <c r="N395" i="1"/>
  <c r="N203" i="1"/>
  <c r="N192" i="1"/>
  <c r="N275" i="1"/>
  <c r="N48" i="1"/>
  <c r="N423" i="1"/>
  <c r="N454" i="1"/>
  <c r="N181" i="1"/>
  <c r="N353" i="1"/>
  <c r="N396" i="1"/>
  <c r="N243" i="1"/>
  <c r="N70" i="1"/>
  <c r="N467" i="1"/>
  <c r="N173" i="1"/>
  <c r="N140" i="1"/>
  <c r="N471" i="1"/>
  <c r="N368" i="1"/>
  <c r="N313" i="1"/>
  <c r="N84" i="1"/>
  <c r="N403" i="1"/>
  <c r="N499" i="1"/>
  <c r="N413" i="1"/>
  <c r="N348" i="1"/>
  <c r="N391" i="1"/>
  <c r="N195" i="1"/>
  <c r="N191" i="1"/>
  <c r="N185" i="1"/>
  <c r="N144" i="1"/>
  <c r="N183" i="1"/>
  <c r="N182" i="1"/>
  <c r="N210" i="1"/>
  <c r="N205" i="1"/>
  <c r="N309" i="1"/>
  <c r="N281" i="1"/>
  <c r="N298" i="1"/>
  <c r="N464" i="1"/>
  <c r="N280" i="1"/>
  <c r="N493" i="1"/>
  <c r="N329" i="1"/>
  <c r="N166" i="1"/>
  <c r="N458" i="1"/>
  <c r="N247" i="1"/>
  <c r="N7" i="1"/>
  <c r="N264" i="1"/>
  <c r="N209" i="1"/>
  <c r="N469" i="1"/>
  <c r="N96" i="1"/>
  <c r="N194" i="1"/>
  <c r="N452" i="1"/>
  <c r="N336" i="1"/>
  <c r="N223" i="1"/>
  <c r="N119" i="1"/>
  <c r="N328" i="1"/>
  <c r="N258" i="1"/>
  <c r="N117" i="1"/>
  <c r="N122" i="1"/>
  <c r="N109" i="1"/>
  <c r="N79" i="1"/>
  <c r="N420" i="1"/>
  <c r="N402" i="1"/>
  <c r="N421" i="1"/>
  <c r="N266" i="1"/>
  <c r="N211" i="1"/>
  <c r="N214" i="1"/>
  <c r="N425" i="1"/>
  <c r="N20" i="1"/>
  <c r="N152" i="1"/>
  <c r="N98" i="1"/>
  <c r="N460" i="1"/>
  <c r="N156" i="1"/>
  <c r="N29" i="1"/>
  <c r="N305" i="1"/>
  <c r="N178" i="1"/>
  <c r="N147" i="1"/>
  <c r="N129" i="1"/>
  <c r="N125" i="1"/>
  <c r="N387" i="1"/>
  <c r="N306" i="1"/>
  <c r="N217" i="1"/>
  <c r="N71" i="1"/>
  <c r="N224" i="1"/>
  <c r="N314" i="1"/>
  <c r="N322" i="1"/>
  <c r="N296" i="1"/>
  <c r="N89" i="1"/>
  <c r="N6" i="1"/>
  <c r="N483" i="1"/>
  <c r="N51" i="1"/>
  <c r="N13" i="1"/>
  <c r="N287" i="1"/>
  <c r="N25" i="1"/>
  <c r="N111" i="1"/>
  <c r="N355" i="1"/>
  <c r="N481" i="1"/>
  <c r="N334" i="1"/>
  <c r="N167" i="1"/>
  <c r="N254" i="1"/>
  <c r="N21" i="1"/>
  <c r="N161" i="1"/>
  <c r="N162" i="1"/>
  <c r="N293" i="1"/>
  <c r="N487" i="1"/>
  <c r="N15" i="1"/>
  <c r="N170" i="1"/>
  <c r="N19" i="1"/>
  <c r="N153" i="1"/>
  <c r="N101" i="1"/>
  <c r="N40" i="1"/>
  <c r="N416" i="1"/>
  <c r="N312" i="1"/>
  <c r="N400" i="1"/>
  <c r="N150" i="1"/>
  <c r="N251" i="1"/>
  <c r="N468" i="1"/>
  <c r="N265" i="1"/>
  <c r="N404" i="1"/>
  <c r="N139" i="1"/>
  <c r="N389" i="1"/>
  <c r="N148" i="1"/>
  <c r="N16" i="1"/>
  <c r="N262" i="1"/>
  <c r="N158" i="1"/>
  <c r="N31" i="1"/>
  <c r="N302" i="1"/>
  <c r="N97" i="1"/>
  <c r="N501" i="1"/>
  <c r="N42" i="1"/>
  <c r="N62" i="1"/>
  <c r="N412" i="1"/>
  <c r="N233" i="1"/>
  <c r="N411" i="1"/>
  <c r="N333" i="1"/>
  <c r="N143" i="1"/>
  <c r="N45" i="1"/>
  <c r="N432" i="1"/>
  <c r="N53" i="1"/>
  <c r="N359" i="1"/>
  <c r="N418" i="1"/>
  <c r="N236" i="1"/>
  <c r="N202" i="1"/>
  <c r="N83" i="1"/>
  <c r="N345" i="1"/>
  <c r="N2" i="1"/>
  <c r="N388" i="1"/>
  <c r="N286" i="1"/>
  <c r="N215" i="1"/>
  <c r="N308" i="1"/>
  <c r="N46" i="1"/>
  <c r="N5" i="1"/>
  <c r="N346" i="1"/>
  <c r="N456" i="1"/>
  <c r="N24" i="1"/>
  <c r="N75" i="1"/>
  <c r="N393" i="1"/>
  <c r="N330" i="1"/>
  <c r="N500" i="1"/>
  <c r="N433" i="1"/>
  <c r="N409" i="1"/>
  <c r="N118" i="1"/>
  <c r="N354" i="1"/>
  <c r="N463" i="1"/>
  <c r="N226" i="1"/>
  <c r="N238" i="1"/>
  <c r="N291" i="1"/>
  <c r="N128" i="1"/>
  <c r="N317" i="1"/>
  <c r="N310" i="1"/>
  <c r="N462" i="1"/>
  <c r="N220" i="1"/>
  <c r="N382" i="1"/>
  <c r="N227" i="1"/>
  <c r="N376" i="1"/>
  <c r="N208" i="1"/>
  <c r="N362" i="1"/>
  <c r="N392" i="1"/>
  <c r="N74" i="1"/>
  <c r="N438" i="1"/>
  <c r="N225" i="1"/>
  <c r="N159" i="1"/>
  <c r="N123" i="1"/>
  <c r="N321" i="1"/>
  <c r="N263" i="1"/>
  <c r="N331" i="1"/>
  <c r="N335" i="1"/>
  <c r="N367" i="1"/>
  <c r="N498" i="1"/>
  <c r="N272" i="1"/>
  <c r="N121" i="1"/>
  <c r="N10" i="1"/>
  <c r="N63" i="1"/>
  <c r="N448" i="1"/>
  <c r="N390" i="1"/>
  <c r="N47" i="1"/>
  <c r="N496" i="1"/>
  <c r="N325" i="1"/>
  <c r="N344" i="1"/>
  <c r="N494" i="1"/>
  <c r="N480" i="1"/>
  <c r="N397" i="1"/>
  <c r="N406" i="1"/>
  <c r="N419" i="1"/>
  <c r="N213" i="1"/>
  <c r="N318" i="1"/>
  <c r="N363" i="1"/>
  <c r="N237" i="1"/>
  <c r="N86" i="1"/>
  <c r="N206" i="1"/>
  <c r="N81" i="1"/>
  <c r="N277" i="1"/>
  <c r="N23" i="1"/>
  <c r="N327" i="1"/>
  <c r="N30" i="1"/>
  <c r="N171" i="1"/>
  <c r="N349" i="1"/>
  <c r="N399" i="1"/>
  <c r="N381" i="1"/>
  <c r="N323" i="1"/>
  <c r="N68" i="1"/>
  <c r="N424" i="1"/>
  <c r="N72" i="1"/>
  <c r="N435" i="1"/>
  <c r="N371" i="1"/>
  <c r="N459" i="1"/>
  <c r="N269" i="1"/>
  <c r="N107" i="1"/>
  <c r="N52" i="1"/>
  <c r="N64" i="1"/>
  <c r="N28" i="1"/>
  <c r="N422" i="1"/>
  <c r="N431" i="1"/>
  <c r="N356" i="1"/>
  <c r="N256" i="1"/>
  <c r="N492" i="1"/>
  <c r="N241" i="1"/>
  <c r="N304" i="1"/>
  <c r="N255" i="1"/>
  <c r="N190" i="1"/>
  <c r="N373" i="1"/>
  <c r="N135" i="1"/>
  <c r="N124" i="1"/>
  <c r="N385" i="1"/>
  <c r="N155" i="1"/>
  <c r="N288" i="1"/>
  <c r="N189" i="1"/>
  <c r="N261" i="1"/>
  <c r="N126" i="1"/>
  <c r="N134" i="1"/>
  <c r="N106" i="1"/>
  <c r="N410" i="1"/>
  <c r="N299" i="1"/>
  <c r="N417" i="1"/>
  <c r="N426" i="1"/>
  <c r="N160" i="1"/>
  <c r="N414" i="1"/>
  <c r="N260" i="1"/>
  <c r="N228" i="1"/>
  <c r="N451" i="1"/>
  <c r="N357" i="1"/>
  <c r="N184" i="1"/>
  <c r="N347" i="1"/>
  <c r="N56" i="1"/>
  <c r="N311" i="1"/>
  <c r="N39" i="1"/>
  <c r="N82" i="1"/>
  <c r="N365" i="1"/>
  <c r="N4" i="1"/>
  <c r="N484" i="1"/>
  <c r="N408" i="1"/>
  <c r="N18" i="1"/>
  <c r="N495" i="1"/>
  <c r="N497" i="1"/>
  <c r="N222" i="1"/>
  <c r="N88" i="1"/>
  <c r="N475" i="1"/>
  <c r="N188" i="1"/>
  <c r="N297" i="1"/>
  <c r="N445" i="1"/>
  <c r="N230" i="1"/>
  <c r="N212" i="1"/>
  <c r="N55" i="1"/>
  <c r="N137" i="1"/>
  <c r="N207" i="1"/>
  <c r="N59" i="1"/>
  <c r="N66" i="1"/>
  <c r="N271" i="1"/>
  <c r="N17" i="1"/>
  <c r="N100" i="1"/>
  <c r="N488" i="1"/>
  <c r="N187" i="1"/>
  <c r="N157" i="1"/>
  <c r="N186" i="1"/>
  <c r="N193" i="1"/>
  <c r="N364" i="1"/>
  <c r="N350" i="1"/>
  <c r="N174" i="1"/>
  <c r="N216" i="1"/>
  <c r="N455" i="1"/>
  <c r="N38" i="1"/>
  <c r="N253" i="1"/>
  <c r="N290" i="1"/>
  <c r="N114" i="1"/>
  <c r="N239" i="1"/>
  <c r="N91" i="1"/>
  <c r="N375" i="1"/>
  <c r="N49" i="1"/>
  <c r="N429" i="1"/>
  <c r="N249" i="1"/>
  <c r="N164" i="1"/>
  <c r="N77" i="1"/>
  <c r="N427" i="1"/>
  <c r="N130" i="1"/>
  <c r="N65" i="1"/>
  <c r="N428" i="1"/>
  <c r="N93" i="1"/>
  <c r="N242" i="1"/>
  <c r="N405" i="1"/>
  <c r="N295" i="1"/>
  <c r="N478" i="1"/>
  <c r="N105" i="1"/>
  <c r="W36" i="1"/>
  <c r="W315" i="1"/>
  <c r="W169" i="1"/>
  <c r="W338" i="1"/>
  <c r="W439" i="1"/>
  <c r="W284" i="1"/>
  <c r="W430" i="1"/>
  <c r="W198" i="1"/>
  <c r="W204" i="1"/>
  <c r="W244" i="1"/>
  <c r="W394" i="1"/>
  <c r="W372" i="1"/>
  <c r="W289" i="1"/>
  <c r="W61" i="1"/>
  <c r="W369" i="1"/>
  <c r="W103" i="1"/>
  <c r="W90" i="1"/>
  <c r="W67" i="1"/>
  <c r="W245" i="1"/>
  <c r="W444" i="1"/>
  <c r="W87" i="1"/>
  <c r="W474" i="1"/>
  <c r="W415" i="1"/>
  <c r="W41" i="1"/>
  <c r="W176" i="1"/>
  <c r="W76" i="1"/>
  <c r="W380" i="1"/>
  <c r="W80" i="1"/>
  <c r="W34" i="1"/>
  <c r="W197" i="1"/>
  <c r="W441" i="1"/>
  <c r="W219" i="1"/>
  <c r="W337" i="1"/>
  <c r="W342" i="1"/>
  <c r="W37" i="1"/>
  <c r="W95" i="1"/>
  <c r="W267" i="1"/>
  <c r="W146" i="1"/>
  <c r="W477" i="1"/>
  <c r="W60" i="1"/>
  <c r="W92" i="1"/>
  <c r="W319" i="1"/>
  <c r="W138" i="1"/>
  <c r="W3" i="1"/>
  <c r="W486" i="1"/>
  <c r="W73" i="1"/>
  <c r="W360" i="1"/>
  <c r="W58" i="1"/>
  <c r="W102" i="1"/>
  <c r="W33" i="1"/>
  <c r="W120" i="1"/>
  <c r="W132" i="1"/>
  <c r="W235" i="1"/>
  <c r="W177" i="1"/>
  <c r="W43" i="1"/>
  <c r="W151" i="1"/>
  <c r="W461" i="1"/>
  <c r="W457" i="1"/>
  <c r="W343" i="1"/>
  <c r="W379" i="1"/>
  <c r="W491" i="1"/>
  <c r="W361" i="1"/>
  <c r="W377" i="1"/>
  <c r="W35" i="1"/>
  <c r="W69" i="1"/>
  <c r="W257" i="1"/>
  <c r="W110" i="1"/>
  <c r="W78" i="1"/>
  <c r="W99" i="1"/>
  <c r="W44" i="1"/>
  <c r="W113" i="1"/>
  <c r="W326" i="1"/>
  <c r="W482" i="1"/>
  <c r="W401" i="1"/>
  <c r="W374" i="1"/>
  <c r="W32" i="1"/>
  <c r="W285" i="1"/>
  <c r="W252" i="1"/>
  <c r="W320" i="1"/>
  <c r="W180" i="1"/>
  <c r="W473" i="1"/>
  <c r="W273" i="1"/>
  <c r="W292" i="1"/>
  <c r="W14" i="1"/>
  <c r="W240" i="1"/>
  <c r="W440" i="1"/>
  <c r="W358" i="1"/>
  <c r="W8" i="1"/>
  <c r="W163" i="1"/>
  <c r="W479" i="1"/>
  <c r="W231" i="1"/>
  <c r="W324" i="1"/>
  <c r="W470" i="1"/>
  <c r="W229" i="1"/>
  <c r="W398" i="1"/>
  <c r="W339" i="1"/>
  <c r="W370" i="1"/>
  <c r="W332" i="1"/>
  <c r="W149" i="1"/>
  <c r="W165" i="1"/>
  <c r="W104" i="1"/>
  <c r="W27" i="1"/>
  <c r="W449" i="1"/>
  <c r="W268" i="1"/>
  <c r="W443" i="1"/>
  <c r="W466" i="1"/>
  <c r="W274" i="1"/>
  <c r="W50" i="1"/>
  <c r="W218" i="1"/>
  <c r="W127" i="1"/>
  <c r="W12" i="1"/>
  <c r="W154" i="1"/>
  <c r="W250" i="1"/>
  <c r="W133" i="1"/>
  <c r="W116" i="1"/>
  <c r="W54" i="1"/>
  <c r="W303" i="1"/>
  <c r="W485" i="1"/>
  <c r="W453" i="1"/>
  <c r="W378" i="1"/>
  <c r="W383" i="1"/>
  <c r="W234" i="1"/>
  <c r="W22" i="1"/>
  <c r="W179" i="1"/>
  <c r="W85" i="1"/>
  <c r="W294" i="1"/>
  <c r="W447" i="1"/>
  <c r="W490" i="1"/>
  <c r="W278" i="1"/>
  <c r="W26" i="1"/>
  <c r="W276" i="1"/>
  <c r="W283" i="1"/>
  <c r="W384" i="1"/>
  <c r="W259" i="1"/>
  <c r="W279" i="1"/>
  <c r="W136" i="1"/>
  <c r="W200" i="1"/>
  <c r="W351" i="1"/>
  <c r="W11" i="1"/>
  <c r="W199" i="1"/>
  <c r="W386" i="1"/>
  <c r="W472" i="1"/>
  <c r="W172" i="1"/>
  <c r="W442" i="1"/>
  <c r="W476" i="1"/>
  <c r="W175" i="1"/>
  <c r="W145" i="1"/>
  <c r="W221" i="1"/>
  <c r="W246" i="1"/>
  <c r="W434" i="1"/>
  <c r="W115" i="1"/>
  <c r="W465" i="1"/>
  <c r="W112" i="1"/>
  <c r="W57" i="1"/>
  <c r="W352" i="1"/>
  <c r="W446" i="1"/>
  <c r="W301" i="1"/>
  <c r="W341" i="1"/>
  <c r="W489" i="1"/>
  <c r="W450" i="1"/>
  <c r="W270" i="1"/>
  <c r="W168" i="1"/>
  <c r="W436" i="1"/>
  <c r="W407" i="1"/>
  <c r="W340" i="1"/>
  <c r="W196" i="1"/>
  <c r="W248" i="1"/>
  <c r="W232" i="1"/>
  <c r="W201" i="1"/>
  <c r="W141" i="1"/>
  <c r="W316" i="1"/>
  <c r="W131" i="1"/>
  <c r="W300" i="1"/>
  <c r="W9" i="1"/>
  <c r="W142" i="1"/>
  <c r="W437" i="1"/>
  <c r="W94" i="1"/>
  <c r="W366" i="1"/>
  <c r="W108" i="1"/>
  <c r="W395" i="1"/>
  <c r="W203" i="1"/>
  <c r="W192" i="1"/>
  <c r="W275" i="1"/>
  <c r="W48" i="1"/>
  <c r="W423" i="1"/>
  <c r="W454" i="1"/>
  <c r="W181" i="1"/>
  <c r="W353" i="1"/>
  <c r="W396" i="1"/>
  <c r="W243" i="1"/>
  <c r="W70" i="1"/>
  <c r="W467" i="1"/>
  <c r="W173" i="1"/>
  <c r="W140" i="1"/>
  <c r="W471" i="1"/>
  <c r="W368" i="1"/>
  <c r="W313" i="1"/>
  <c r="W84" i="1"/>
  <c r="W403" i="1"/>
  <c r="W499" i="1"/>
  <c r="W413" i="1"/>
  <c r="W348" i="1"/>
  <c r="W391" i="1"/>
  <c r="W195" i="1"/>
  <c r="W191" i="1"/>
  <c r="W185" i="1"/>
  <c r="W144" i="1"/>
  <c r="W183" i="1"/>
  <c r="W182" i="1"/>
  <c r="W210" i="1"/>
  <c r="W205" i="1"/>
  <c r="W309" i="1"/>
  <c r="W281" i="1"/>
  <c r="W298" i="1"/>
  <c r="W464" i="1"/>
  <c r="W280" i="1"/>
  <c r="W493" i="1"/>
  <c r="W329" i="1"/>
  <c r="W166" i="1"/>
  <c r="W458" i="1"/>
  <c r="W247" i="1"/>
  <c r="W7" i="1"/>
  <c r="W264" i="1"/>
  <c r="W209" i="1"/>
  <c r="W469" i="1"/>
  <c r="W96" i="1"/>
  <c r="W194" i="1"/>
  <c r="W452" i="1"/>
  <c r="W336" i="1"/>
  <c r="W223" i="1"/>
  <c r="W119" i="1"/>
  <c r="W328" i="1"/>
  <c r="W258" i="1"/>
  <c r="W117" i="1"/>
  <c r="W122" i="1"/>
  <c r="W109" i="1"/>
  <c r="W79" i="1"/>
  <c r="W420" i="1"/>
  <c r="W402" i="1"/>
  <c r="W421" i="1"/>
  <c r="W266" i="1"/>
  <c r="W211" i="1"/>
  <c r="W214" i="1"/>
  <c r="W425" i="1"/>
  <c r="W20" i="1"/>
  <c r="W152" i="1"/>
  <c r="W98" i="1"/>
  <c r="W460" i="1"/>
  <c r="W156" i="1"/>
  <c r="W29" i="1"/>
  <c r="W305" i="1"/>
  <c r="W178" i="1"/>
  <c r="W147" i="1"/>
  <c r="W129" i="1"/>
  <c r="W125" i="1"/>
  <c r="W387" i="1"/>
  <c r="W306" i="1"/>
  <c r="W217" i="1"/>
  <c r="W71" i="1"/>
  <c r="W224" i="1"/>
  <c r="W314" i="1"/>
  <c r="W322" i="1"/>
  <c r="W296" i="1"/>
  <c r="W89" i="1"/>
  <c r="W6" i="1"/>
  <c r="W483" i="1"/>
  <c r="W51" i="1"/>
  <c r="W13" i="1"/>
  <c r="W287" i="1"/>
  <c r="W25" i="1"/>
  <c r="W111" i="1"/>
  <c r="W355" i="1"/>
  <c r="W481" i="1"/>
  <c r="W334" i="1"/>
  <c r="W167" i="1"/>
  <c r="W254" i="1"/>
  <c r="W21" i="1"/>
  <c r="W161" i="1"/>
  <c r="W162" i="1"/>
  <c r="W293" i="1"/>
  <c r="W487" i="1"/>
  <c r="W15" i="1"/>
  <c r="W170" i="1"/>
  <c r="W19" i="1"/>
  <c r="W153" i="1"/>
  <c r="W101" i="1"/>
  <c r="W40" i="1"/>
  <c r="W416" i="1"/>
  <c r="W312" i="1"/>
  <c r="W400" i="1"/>
  <c r="W150" i="1"/>
  <c r="W251" i="1"/>
  <c r="W468" i="1"/>
  <c r="W265" i="1"/>
  <c r="W404" i="1"/>
  <c r="W139" i="1"/>
  <c r="W389" i="1"/>
  <c r="W148" i="1"/>
  <c r="W16" i="1"/>
  <c r="W262" i="1"/>
  <c r="W158" i="1"/>
  <c r="W31" i="1"/>
  <c r="W302" i="1"/>
  <c r="W97" i="1"/>
  <c r="W501" i="1"/>
  <c r="W42" i="1"/>
  <c r="W62" i="1"/>
  <c r="W412" i="1"/>
  <c r="W233" i="1"/>
  <c r="W411" i="1"/>
  <c r="W333" i="1"/>
  <c r="W143" i="1"/>
  <c r="W45" i="1"/>
  <c r="W432" i="1"/>
  <c r="W53" i="1"/>
  <c r="W359" i="1"/>
  <c r="W418" i="1"/>
  <c r="W236" i="1"/>
  <c r="W202" i="1"/>
  <c r="W83" i="1"/>
  <c r="W345" i="1"/>
  <c r="W2" i="1"/>
  <c r="W388" i="1"/>
  <c r="W286" i="1"/>
  <c r="W215" i="1"/>
  <c r="W308" i="1"/>
  <c r="W46" i="1"/>
  <c r="W5" i="1"/>
  <c r="W346" i="1"/>
  <c r="W456" i="1"/>
  <c r="W24" i="1"/>
  <c r="W75" i="1"/>
  <c r="W393" i="1"/>
  <c r="W330" i="1"/>
  <c r="W500" i="1"/>
  <c r="W433" i="1"/>
  <c r="W409" i="1"/>
  <c r="W118" i="1"/>
  <c r="W354" i="1"/>
  <c r="W463" i="1"/>
  <c r="W226" i="1"/>
  <c r="W238" i="1"/>
  <c r="W291" i="1"/>
  <c r="W128" i="1"/>
  <c r="W317" i="1"/>
  <c r="W310" i="1"/>
  <c r="W462" i="1"/>
  <c r="W220" i="1"/>
  <c r="W382" i="1"/>
  <c r="W227" i="1"/>
  <c r="W376" i="1"/>
  <c r="W208" i="1"/>
  <c r="W362" i="1"/>
  <c r="W392" i="1"/>
  <c r="W74" i="1"/>
  <c r="W438" i="1"/>
  <c r="W225" i="1"/>
  <c r="W159" i="1"/>
  <c r="W123" i="1"/>
  <c r="W321" i="1"/>
  <c r="W263" i="1"/>
  <c r="W331" i="1"/>
  <c r="W335" i="1"/>
  <c r="W367" i="1"/>
  <c r="W498" i="1"/>
  <c r="W272" i="1"/>
  <c r="W121" i="1"/>
  <c r="W10" i="1"/>
  <c r="W63" i="1"/>
  <c r="W448" i="1"/>
  <c r="W390" i="1"/>
  <c r="W47" i="1"/>
  <c r="W496" i="1"/>
  <c r="W325" i="1"/>
  <c r="W344" i="1"/>
  <c r="W494" i="1"/>
  <c r="W480" i="1"/>
  <c r="W397" i="1"/>
  <c r="W406" i="1"/>
  <c r="W419" i="1"/>
  <c r="W213" i="1"/>
  <c r="W318" i="1"/>
  <c r="W363" i="1"/>
  <c r="W237" i="1"/>
  <c r="W86" i="1"/>
  <c r="W206" i="1"/>
  <c r="W81" i="1"/>
  <c r="W277" i="1"/>
  <c r="W23" i="1"/>
  <c r="W327" i="1"/>
  <c r="W30" i="1"/>
  <c r="W171" i="1"/>
  <c r="W349" i="1"/>
  <c r="W399" i="1"/>
  <c r="W381" i="1"/>
  <c r="W323" i="1"/>
  <c r="W68" i="1"/>
  <c r="W424" i="1"/>
  <c r="W72" i="1"/>
  <c r="W435" i="1"/>
  <c r="W371" i="1"/>
  <c r="W459" i="1"/>
  <c r="W269" i="1"/>
  <c r="W107" i="1"/>
  <c r="W52" i="1"/>
  <c r="W64" i="1"/>
  <c r="W28" i="1"/>
  <c r="W422" i="1"/>
  <c r="W431" i="1"/>
  <c r="W356" i="1"/>
  <c r="W256" i="1"/>
  <c r="W492" i="1"/>
  <c r="W241" i="1"/>
  <c r="W304" i="1"/>
  <c r="W255" i="1"/>
  <c r="W190" i="1"/>
  <c r="W373" i="1"/>
  <c r="W135" i="1"/>
  <c r="W124" i="1"/>
  <c r="W385" i="1"/>
  <c r="W155" i="1"/>
  <c r="W288" i="1"/>
  <c r="W189" i="1"/>
  <c r="W261" i="1"/>
  <c r="W126" i="1"/>
  <c r="W134" i="1"/>
  <c r="W106" i="1"/>
  <c r="W410" i="1"/>
  <c r="W299" i="1"/>
  <c r="W417" i="1"/>
  <c r="W426" i="1"/>
  <c r="W160" i="1"/>
  <c r="W414" i="1"/>
  <c r="W260" i="1"/>
  <c r="W228" i="1"/>
  <c r="W451" i="1"/>
  <c r="W357" i="1"/>
  <c r="W184" i="1"/>
  <c r="W347" i="1"/>
  <c r="W56" i="1"/>
  <c r="W311" i="1"/>
  <c r="W39" i="1"/>
  <c r="W82" i="1"/>
  <c r="W365" i="1"/>
  <c r="W4" i="1"/>
  <c r="W484" i="1"/>
  <c r="W408" i="1"/>
  <c r="W18" i="1"/>
  <c r="W495" i="1"/>
  <c r="W497" i="1"/>
  <c r="W222" i="1"/>
  <c r="W88" i="1"/>
  <c r="W475" i="1"/>
  <c r="W188" i="1"/>
  <c r="W297" i="1"/>
  <c r="W445" i="1"/>
  <c r="W230" i="1"/>
  <c r="W212" i="1"/>
  <c r="W55" i="1"/>
  <c r="W137" i="1"/>
  <c r="W207" i="1"/>
  <c r="W59" i="1"/>
  <c r="W66" i="1"/>
  <c r="W271" i="1"/>
  <c r="W17" i="1"/>
  <c r="W100" i="1"/>
  <c r="W488" i="1"/>
  <c r="W187" i="1"/>
  <c r="W157" i="1"/>
  <c r="W186" i="1"/>
  <c r="W193" i="1"/>
  <c r="W364" i="1"/>
  <c r="W350" i="1"/>
  <c r="W174" i="1"/>
  <c r="W216" i="1"/>
  <c r="W455" i="1"/>
  <c r="W38" i="1"/>
  <c r="W253" i="1"/>
  <c r="W290" i="1"/>
  <c r="W114" i="1"/>
  <c r="W239" i="1"/>
  <c r="W91" i="1"/>
  <c r="W375" i="1"/>
  <c r="W49" i="1"/>
  <c r="W429" i="1"/>
  <c r="W249" i="1"/>
  <c r="W164" i="1"/>
  <c r="W77" i="1"/>
  <c r="W427" i="1"/>
  <c r="W130" i="1"/>
  <c r="W65" i="1"/>
  <c r="W428" i="1"/>
  <c r="W93" i="1"/>
  <c r="W242" i="1"/>
  <c r="W405" i="1"/>
  <c r="W295" i="1"/>
  <c r="W478" i="1"/>
  <c r="W105" i="1"/>
  <c r="V282" i="1"/>
  <c r="V36" i="1"/>
  <c r="V315" i="1"/>
  <c r="V169" i="1"/>
  <c r="V307" i="1"/>
  <c r="V338" i="1"/>
  <c r="V439" i="1"/>
  <c r="V284" i="1"/>
  <c r="V430" i="1"/>
  <c r="V198" i="1"/>
  <c r="V204" i="1"/>
  <c r="V244" i="1"/>
  <c r="V394" i="1"/>
  <c r="V372" i="1"/>
  <c r="V289" i="1"/>
  <c r="V61" i="1"/>
  <c r="V369" i="1"/>
  <c r="V103" i="1"/>
  <c r="V90" i="1"/>
  <c r="V67" i="1"/>
  <c r="V245" i="1"/>
  <c r="V444" i="1"/>
  <c r="V87" i="1"/>
  <c r="V474" i="1"/>
  <c r="V415" i="1"/>
  <c r="V41" i="1"/>
  <c r="V176" i="1"/>
  <c r="V76" i="1"/>
  <c r="V380" i="1"/>
  <c r="V80" i="1"/>
  <c r="V34" i="1"/>
  <c r="V197" i="1"/>
  <c r="V441" i="1"/>
  <c r="V219" i="1"/>
  <c r="V337" i="1"/>
  <c r="V342" i="1"/>
  <c r="V37" i="1"/>
  <c r="V95" i="1"/>
  <c r="V267" i="1"/>
  <c r="V146" i="1"/>
  <c r="V477" i="1"/>
  <c r="V60" i="1"/>
  <c r="V92" i="1"/>
  <c r="V319" i="1"/>
  <c r="V138" i="1"/>
  <c r="V3" i="1"/>
  <c r="V486" i="1"/>
  <c r="V73" i="1"/>
  <c r="V360" i="1"/>
  <c r="V58" i="1"/>
  <c r="V102" i="1"/>
  <c r="V33" i="1"/>
  <c r="V120" i="1"/>
  <c r="V132" i="1"/>
  <c r="V235" i="1"/>
  <c r="V177" i="1"/>
  <c r="V43" i="1"/>
  <c r="V151" i="1"/>
  <c r="V461" i="1"/>
  <c r="V457" i="1"/>
  <c r="V343" i="1"/>
  <c r="V379" i="1"/>
  <c r="V491" i="1"/>
  <c r="V361" i="1"/>
  <c r="V377" i="1"/>
  <c r="V35" i="1"/>
  <c r="V69" i="1"/>
  <c r="V257" i="1"/>
  <c r="V110" i="1"/>
  <c r="V78" i="1"/>
  <c r="V99" i="1"/>
  <c r="V44" i="1"/>
  <c r="V113" i="1"/>
  <c r="V326" i="1"/>
  <c r="V482" i="1"/>
  <c r="V401" i="1"/>
  <c r="V374" i="1"/>
  <c r="V32" i="1"/>
  <c r="V285" i="1"/>
  <c r="V252" i="1"/>
  <c r="V320" i="1"/>
  <c r="V180" i="1"/>
  <c r="V473" i="1"/>
  <c r="V273" i="1"/>
  <c r="V292" i="1"/>
  <c r="V14" i="1"/>
  <c r="V240" i="1"/>
  <c r="V440" i="1"/>
  <c r="V358" i="1"/>
  <c r="V8" i="1"/>
  <c r="V163" i="1"/>
  <c r="V479" i="1"/>
  <c r="V231" i="1"/>
  <c r="V324" i="1"/>
  <c r="V470" i="1"/>
  <c r="V229" i="1"/>
  <c r="V398" i="1"/>
  <c r="V339" i="1"/>
  <c r="V370" i="1"/>
  <c r="V332" i="1"/>
  <c r="V149" i="1"/>
  <c r="V165" i="1"/>
  <c r="V104" i="1"/>
  <c r="V27" i="1"/>
  <c r="V449" i="1"/>
  <c r="V268" i="1"/>
  <c r="V443" i="1"/>
  <c r="V466" i="1"/>
  <c r="V274" i="1"/>
  <c r="V50" i="1"/>
  <c r="V218" i="1"/>
  <c r="V127" i="1"/>
  <c r="V12" i="1"/>
  <c r="V154" i="1"/>
  <c r="V250" i="1"/>
  <c r="V133" i="1"/>
  <c r="V116" i="1"/>
  <c r="V54" i="1"/>
  <c r="V303" i="1"/>
  <c r="V485" i="1"/>
  <c r="V453" i="1"/>
  <c r="V378" i="1"/>
  <c r="V383" i="1"/>
  <c r="V234" i="1"/>
  <c r="V22" i="1"/>
  <c r="V179" i="1"/>
  <c r="V85" i="1"/>
  <c r="V294" i="1"/>
  <c r="V447" i="1"/>
  <c r="V490" i="1"/>
  <c r="V278" i="1"/>
  <c r="V26" i="1"/>
  <c r="V276" i="1"/>
  <c r="V283" i="1"/>
  <c r="V384" i="1"/>
  <c r="V259" i="1"/>
  <c r="V279" i="1"/>
  <c r="V136" i="1"/>
  <c r="V200" i="1"/>
  <c r="V351" i="1"/>
  <c r="V11" i="1"/>
  <c r="V199" i="1"/>
  <c r="V386" i="1"/>
  <c r="V472" i="1"/>
  <c r="V172" i="1"/>
  <c r="V442" i="1"/>
  <c r="V476" i="1"/>
  <c r="V175" i="1"/>
  <c r="V145" i="1"/>
  <c r="V221" i="1"/>
  <c r="V246" i="1"/>
  <c r="V434" i="1"/>
  <c r="V115" i="1"/>
  <c r="V465" i="1"/>
  <c r="V112" i="1"/>
  <c r="V57" i="1"/>
  <c r="V352" i="1"/>
  <c r="V446" i="1"/>
  <c r="V301" i="1"/>
  <c r="V341" i="1"/>
  <c r="V489" i="1"/>
  <c r="V450" i="1"/>
  <c r="V270" i="1"/>
  <c r="V168" i="1"/>
  <c r="V436" i="1"/>
  <c r="V407" i="1"/>
  <c r="V340" i="1"/>
  <c r="V196" i="1"/>
  <c r="V248" i="1"/>
  <c r="V232" i="1"/>
  <c r="V201" i="1"/>
  <c r="V141" i="1"/>
  <c r="V316" i="1"/>
  <c r="V131" i="1"/>
  <c r="V300" i="1"/>
  <c r="V9" i="1"/>
  <c r="V142" i="1"/>
  <c r="V437" i="1"/>
  <c r="V94" i="1"/>
  <c r="V366" i="1"/>
  <c r="V108" i="1"/>
  <c r="V395" i="1"/>
  <c r="V203" i="1"/>
  <c r="V192" i="1"/>
  <c r="V275" i="1"/>
  <c r="V48" i="1"/>
  <c r="V423" i="1"/>
  <c r="V454" i="1"/>
  <c r="V181" i="1"/>
  <c r="V353" i="1"/>
  <c r="V396" i="1"/>
  <c r="V243" i="1"/>
  <c r="V70" i="1"/>
  <c r="V467" i="1"/>
  <c r="V173" i="1"/>
  <c r="V140" i="1"/>
  <c r="V471" i="1"/>
  <c r="V368" i="1"/>
  <c r="V313" i="1"/>
  <c r="V84" i="1"/>
  <c r="V403" i="1"/>
  <c r="V499" i="1"/>
  <c r="V413" i="1"/>
  <c r="V348" i="1"/>
  <c r="V391" i="1"/>
  <c r="V195" i="1"/>
  <c r="V191" i="1"/>
  <c r="V185" i="1"/>
  <c r="V144" i="1"/>
  <c r="V183" i="1"/>
  <c r="V182" i="1"/>
  <c r="V210" i="1"/>
  <c r="V205" i="1"/>
  <c r="V309" i="1"/>
  <c r="V281" i="1"/>
  <c r="V298" i="1"/>
  <c r="V464" i="1"/>
  <c r="V280" i="1"/>
  <c r="V493" i="1"/>
  <c r="V329" i="1"/>
  <c r="V166" i="1"/>
  <c r="V458" i="1"/>
  <c r="V247" i="1"/>
  <c r="V7" i="1"/>
  <c r="V264" i="1"/>
  <c r="V209" i="1"/>
  <c r="V469" i="1"/>
  <c r="V96" i="1"/>
  <c r="V194" i="1"/>
  <c r="V452" i="1"/>
  <c r="V336" i="1"/>
  <c r="V223" i="1"/>
  <c r="V119" i="1"/>
  <c r="V328" i="1"/>
  <c r="V258" i="1"/>
  <c r="V117" i="1"/>
  <c r="V122" i="1"/>
  <c r="V109" i="1"/>
  <c r="V79" i="1"/>
  <c r="V420" i="1"/>
  <c r="V402" i="1"/>
  <c r="V421" i="1"/>
  <c r="V266" i="1"/>
  <c r="V211" i="1"/>
  <c r="V214" i="1"/>
  <c r="V425" i="1"/>
  <c r="V20" i="1"/>
  <c r="V152" i="1"/>
  <c r="V98" i="1"/>
  <c r="V460" i="1"/>
  <c r="V156" i="1"/>
  <c r="V29" i="1"/>
  <c r="V305" i="1"/>
  <c r="V178" i="1"/>
  <c r="V147" i="1"/>
  <c r="V129" i="1"/>
  <c r="V125" i="1"/>
  <c r="V387" i="1"/>
  <c r="V306" i="1"/>
  <c r="V217" i="1"/>
  <c r="V71" i="1"/>
  <c r="V224" i="1"/>
  <c r="V314" i="1"/>
  <c r="V322" i="1"/>
  <c r="V296" i="1"/>
  <c r="V89" i="1"/>
  <c r="V6" i="1"/>
  <c r="V483" i="1"/>
  <c r="V51" i="1"/>
  <c r="V13" i="1"/>
  <c r="V287" i="1"/>
  <c r="V25" i="1"/>
  <c r="V111" i="1"/>
  <c r="V355" i="1"/>
  <c r="V481" i="1"/>
  <c r="V334" i="1"/>
  <c r="V167" i="1"/>
  <c r="V254" i="1"/>
  <c r="V21" i="1"/>
  <c r="V161" i="1"/>
  <c r="V162" i="1"/>
  <c r="V293" i="1"/>
  <c r="V487" i="1"/>
  <c r="V15" i="1"/>
  <c r="V170" i="1"/>
  <c r="V19" i="1"/>
  <c r="V153" i="1"/>
  <c r="V101" i="1"/>
  <c r="V40" i="1"/>
  <c r="V416" i="1"/>
  <c r="V312" i="1"/>
  <c r="V400" i="1"/>
  <c r="V150" i="1"/>
  <c r="V251" i="1"/>
  <c r="V468" i="1"/>
  <c r="V265" i="1"/>
  <c r="V404" i="1"/>
  <c r="V139" i="1"/>
  <c r="V389" i="1"/>
  <c r="V148" i="1"/>
  <c r="V16" i="1"/>
  <c r="V262" i="1"/>
  <c r="V158" i="1"/>
  <c r="V31" i="1"/>
  <c r="V302" i="1"/>
  <c r="V97" i="1"/>
  <c r="V501" i="1"/>
  <c r="V42" i="1"/>
  <c r="V62" i="1"/>
  <c r="V412" i="1"/>
  <c r="V233" i="1"/>
  <c r="V411" i="1"/>
  <c r="V333" i="1"/>
  <c r="V143" i="1"/>
  <c r="V45" i="1"/>
  <c r="V432" i="1"/>
  <c r="V53" i="1"/>
  <c r="V359" i="1"/>
  <c r="V418" i="1"/>
  <c r="V236" i="1"/>
  <c r="V202" i="1"/>
  <c r="V83" i="1"/>
  <c r="V345" i="1"/>
  <c r="V2" i="1"/>
  <c r="V388" i="1"/>
  <c r="V286" i="1"/>
  <c r="V215" i="1"/>
  <c r="V308" i="1"/>
  <c r="V46" i="1"/>
  <c r="V5" i="1"/>
  <c r="V346" i="1"/>
  <c r="V456" i="1"/>
  <c r="V24" i="1"/>
  <c r="V75" i="1"/>
  <c r="V393" i="1"/>
  <c r="V330" i="1"/>
  <c r="V500" i="1"/>
  <c r="V433" i="1"/>
  <c r="V409" i="1"/>
  <c r="V118" i="1"/>
  <c r="V354" i="1"/>
  <c r="V463" i="1"/>
  <c r="V226" i="1"/>
  <c r="V238" i="1"/>
  <c r="V291" i="1"/>
  <c r="V128" i="1"/>
  <c r="V317" i="1"/>
  <c r="V310" i="1"/>
  <c r="V462" i="1"/>
  <c r="V220" i="1"/>
  <c r="V382" i="1"/>
  <c r="V227" i="1"/>
  <c r="V376" i="1"/>
  <c r="V208" i="1"/>
  <c r="V362" i="1"/>
  <c r="V392" i="1"/>
  <c r="V74" i="1"/>
  <c r="V438" i="1"/>
  <c r="V225" i="1"/>
  <c r="V159" i="1"/>
  <c r="V123" i="1"/>
  <c r="V321" i="1"/>
  <c r="V263" i="1"/>
  <c r="V331" i="1"/>
  <c r="V335" i="1"/>
  <c r="V367" i="1"/>
  <c r="V498" i="1"/>
  <c r="V272" i="1"/>
  <c r="V121" i="1"/>
  <c r="V10" i="1"/>
  <c r="V63" i="1"/>
  <c r="V448" i="1"/>
  <c r="V390" i="1"/>
  <c r="V47" i="1"/>
  <c r="V496" i="1"/>
  <c r="V325" i="1"/>
  <c r="V344" i="1"/>
  <c r="V494" i="1"/>
  <c r="V480" i="1"/>
  <c r="V397" i="1"/>
  <c r="V406" i="1"/>
  <c r="V419" i="1"/>
  <c r="V213" i="1"/>
  <c r="V318" i="1"/>
  <c r="V363" i="1"/>
  <c r="V237" i="1"/>
  <c r="V86" i="1"/>
  <c r="V206" i="1"/>
  <c r="V81" i="1"/>
  <c r="V277" i="1"/>
  <c r="V23" i="1"/>
  <c r="V327" i="1"/>
  <c r="V30" i="1"/>
  <c r="V171" i="1"/>
  <c r="V349" i="1"/>
  <c r="V399" i="1"/>
  <c r="V381" i="1"/>
  <c r="V323" i="1"/>
  <c r="V68" i="1"/>
  <c r="V424" i="1"/>
  <c r="V72" i="1"/>
  <c r="V435" i="1"/>
  <c r="V371" i="1"/>
  <c r="V459" i="1"/>
  <c r="V269" i="1"/>
  <c r="V107" i="1"/>
  <c r="V52" i="1"/>
  <c r="V64" i="1"/>
  <c r="V28" i="1"/>
  <c r="V422" i="1"/>
  <c r="V431" i="1"/>
  <c r="V356" i="1"/>
  <c r="V256" i="1"/>
  <c r="V492" i="1"/>
  <c r="V241" i="1"/>
  <c r="V304" i="1"/>
  <c r="V255" i="1"/>
  <c r="V190" i="1"/>
  <c r="V373" i="1"/>
  <c r="V135" i="1"/>
  <c r="V124" i="1"/>
  <c r="V385" i="1"/>
  <c r="V155" i="1"/>
  <c r="V288" i="1"/>
  <c r="V189" i="1"/>
  <c r="V261" i="1"/>
  <c r="V126" i="1"/>
  <c r="V134" i="1"/>
  <c r="V106" i="1"/>
  <c r="V410" i="1"/>
  <c r="V299" i="1"/>
  <c r="V417" i="1"/>
  <c r="V426" i="1"/>
  <c r="V160" i="1"/>
  <c r="V414" i="1"/>
  <c r="V260" i="1"/>
  <c r="V228" i="1"/>
  <c r="V451" i="1"/>
  <c r="V357" i="1"/>
  <c r="V184" i="1"/>
  <c r="V347" i="1"/>
  <c r="V56" i="1"/>
  <c r="V311" i="1"/>
  <c r="V39" i="1"/>
  <c r="V82" i="1"/>
  <c r="V365" i="1"/>
  <c r="V4" i="1"/>
  <c r="V484" i="1"/>
  <c r="V408" i="1"/>
  <c r="V18" i="1"/>
  <c r="V495" i="1"/>
  <c r="V497" i="1"/>
  <c r="V222" i="1"/>
  <c r="V88" i="1"/>
  <c r="V475" i="1"/>
  <c r="V188" i="1"/>
  <c r="V297" i="1"/>
  <c r="V445" i="1"/>
  <c r="V230" i="1"/>
  <c r="V212" i="1"/>
  <c r="V55" i="1"/>
  <c r="V137" i="1"/>
  <c r="V207" i="1"/>
  <c r="V59" i="1"/>
  <c r="V66" i="1"/>
  <c r="V271" i="1"/>
  <c r="V17" i="1"/>
  <c r="V100" i="1"/>
  <c r="V488" i="1"/>
  <c r="V187" i="1"/>
  <c r="V157" i="1"/>
  <c r="V186" i="1"/>
  <c r="V193" i="1"/>
  <c r="V364" i="1"/>
  <c r="V350" i="1"/>
  <c r="V174" i="1"/>
  <c r="V216" i="1"/>
  <c r="V455" i="1"/>
  <c r="V38" i="1"/>
  <c r="V253" i="1"/>
  <c r="V290" i="1"/>
  <c r="V114" i="1"/>
  <c r="V239" i="1"/>
  <c r="V91" i="1"/>
  <c r="V375" i="1"/>
  <c r="V49" i="1"/>
  <c r="V429" i="1"/>
  <c r="V249" i="1"/>
  <c r="V164" i="1"/>
  <c r="V77" i="1"/>
  <c r="V427" i="1"/>
  <c r="V130" i="1"/>
  <c r="V65" i="1"/>
  <c r="V428" i="1"/>
  <c r="V93" i="1"/>
  <c r="V242" i="1"/>
  <c r="V405" i="1"/>
  <c r="V295" i="1"/>
  <c r="V478" i="1"/>
  <c r="V105" i="1"/>
  <c r="O282" i="1"/>
  <c r="O36" i="1"/>
  <c r="O315" i="1"/>
  <c r="O169" i="1"/>
  <c r="O307" i="1"/>
  <c r="O338" i="1"/>
  <c r="O439" i="1"/>
  <c r="O284" i="1"/>
  <c r="O430" i="1"/>
  <c r="O198" i="1"/>
  <c r="O204" i="1"/>
  <c r="O244" i="1"/>
  <c r="O394" i="1"/>
  <c r="O372" i="1"/>
  <c r="O289" i="1"/>
  <c r="O61" i="1"/>
  <c r="O369" i="1"/>
  <c r="O103" i="1"/>
  <c r="O90" i="1"/>
  <c r="O67" i="1"/>
  <c r="O245" i="1"/>
  <c r="O444" i="1"/>
  <c r="O87" i="1"/>
  <c r="O474" i="1"/>
  <c r="O415" i="1"/>
  <c r="O41" i="1"/>
  <c r="O176" i="1"/>
  <c r="O76" i="1"/>
  <c r="O380" i="1"/>
  <c r="O80" i="1"/>
  <c r="O34" i="1"/>
  <c r="O197" i="1"/>
  <c r="O441" i="1"/>
  <c r="O219" i="1"/>
  <c r="O337" i="1"/>
  <c r="O342" i="1"/>
  <c r="O37" i="1"/>
  <c r="O95" i="1"/>
  <c r="O267" i="1"/>
  <c r="O146" i="1"/>
  <c r="O477" i="1"/>
  <c r="O60" i="1"/>
  <c r="O92" i="1"/>
  <c r="O319" i="1"/>
  <c r="O138" i="1"/>
  <c r="O3" i="1"/>
  <c r="O486" i="1"/>
  <c r="O73" i="1"/>
  <c r="O360" i="1"/>
  <c r="O58" i="1"/>
  <c r="O102" i="1"/>
  <c r="O33" i="1"/>
  <c r="O120" i="1"/>
  <c r="O132" i="1"/>
  <c r="O235" i="1"/>
  <c r="O177" i="1"/>
  <c r="O43" i="1"/>
  <c r="O151" i="1"/>
  <c r="O461" i="1"/>
  <c r="O457" i="1"/>
  <c r="O343" i="1"/>
  <c r="O379" i="1"/>
  <c r="O491" i="1"/>
  <c r="O361" i="1"/>
  <c r="O377" i="1"/>
  <c r="O35" i="1"/>
  <c r="O69" i="1"/>
  <c r="O257" i="1"/>
  <c r="O110" i="1"/>
  <c r="O78" i="1"/>
  <c r="O99" i="1"/>
  <c r="O44" i="1"/>
  <c r="O113" i="1"/>
  <c r="O326" i="1"/>
  <c r="O482" i="1"/>
  <c r="O401" i="1"/>
  <c r="O374" i="1"/>
  <c r="O32" i="1"/>
  <c r="O285" i="1"/>
  <c r="O252" i="1"/>
  <c r="O320" i="1"/>
  <c r="O180" i="1"/>
  <c r="O473" i="1"/>
  <c r="O273" i="1"/>
  <c r="O292" i="1"/>
  <c r="O14" i="1"/>
  <c r="O240" i="1"/>
  <c r="O440" i="1"/>
  <c r="O358" i="1"/>
  <c r="O8" i="1"/>
  <c r="O163" i="1"/>
  <c r="O479" i="1"/>
  <c r="O231" i="1"/>
  <c r="O324" i="1"/>
  <c r="O470" i="1"/>
  <c r="O229" i="1"/>
  <c r="O398" i="1"/>
  <c r="O339" i="1"/>
  <c r="O370" i="1"/>
  <c r="O332" i="1"/>
  <c r="O149" i="1"/>
  <c r="O165" i="1"/>
  <c r="O104" i="1"/>
  <c r="O27" i="1"/>
  <c r="O449" i="1"/>
  <c r="O268" i="1"/>
  <c r="O443" i="1"/>
  <c r="O466" i="1"/>
  <c r="O274" i="1"/>
  <c r="O50" i="1"/>
  <c r="O218" i="1"/>
  <c r="O127" i="1"/>
  <c r="O12" i="1"/>
  <c r="O154" i="1"/>
  <c r="O250" i="1"/>
  <c r="O133" i="1"/>
  <c r="O116" i="1"/>
  <c r="O54" i="1"/>
  <c r="O303" i="1"/>
  <c r="O485" i="1"/>
  <c r="O453" i="1"/>
  <c r="O378" i="1"/>
  <c r="O383" i="1"/>
  <c r="O234" i="1"/>
  <c r="O22" i="1"/>
  <c r="O179" i="1"/>
  <c r="O85" i="1"/>
  <c r="O294" i="1"/>
  <c r="O447" i="1"/>
  <c r="O490" i="1"/>
  <c r="O278" i="1"/>
  <c r="O26" i="1"/>
  <c r="O276" i="1"/>
  <c r="O283" i="1"/>
  <c r="O384" i="1"/>
  <c r="O259" i="1"/>
  <c r="O279" i="1"/>
  <c r="O136" i="1"/>
  <c r="O200" i="1"/>
  <c r="O351" i="1"/>
  <c r="O11" i="1"/>
  <c r="O199" i="1"/>
  <c r="O386" i="1"/>
  <c r="O472" i="1"/>
  <c r="O172" i="1"/>
  <c r="O442" i="1"/>
  <c r="O476" i="1"/>
  <c r="O175" i="1"/>
  <c r="O145" i="1"/>
  <c r="O221" i="1"/>
  <c r="O246" i="1"/>
  <c r="O434" i="1"/>
  <c r="O115" i="1"/>
  <c r="O465" i="1"/>
  <c r="O112" i="1"/>
  <c r="O57" i="1"/>
  <c r="O352" i="1"/>
  <c r="O446" i="1"/>
  <c r="O301" i="1"/>
  <c r="O341" i="1"/>
  <c r="O489" i="1"/>
  <c r="O450" i="1"/>
  <c r="O270" i="1"/>
  <c r="O168" i="1"/>
  <c r="O436" i="1"/>
  <c r="O407" i="1"/>
  <c r="O340" i="1"/>
  <c r="O196" i="1"/>
  <c r="O248" i="1"/>
  <c r="O232" i="1"/>
  <c r="O201" i="1"/>
  <c r="O141" i="1"/>
  <c r="O316" i="1"/>
  <c r="O131" i="1"/>
  <c r="O300" i="1"/>
  <c r="O9" i="1"/>
  <c r="O142" i="1"/>
  <c r="O437" i="1"/>
  <c r="O94" i="1"/>
  <c r="O366" i="1"/>
  <c r="O108" i="1"/>
  <c r="O395" i="1"/>
  <c r="O203" i="1"/>
  <c r="O192" i="1"/>
  <c r="O275" i="1"/>
  <c r="O48" i="1"/>
  <c r="O423" i="1"/>
  <c r="O454" i="1"/>
  <c r="O181" i="1"/>
  <c r="O353" i="1"/>
  <c r="O396" i="1"/>
  <c r="O243" i="1"/>
  <c r="O70" i="1"/>
  <c r="O467" i="1"/>
  <c r="O173" i="1"/>
  <c r="O140" i="1"/>
  <c r="O471" i="1"/>
  <c r="O368" i="1"/>
  <c r="O313" i="1"/>
  <c r="O84" i="1"/>
  <c r="O403" i="1"/>
  <c r="O499" i="1"/>
  <c r="O413" i="1"/>
  <c r="O348" i="1"/>
  <c r="O391" i="1"/>
  <c r="O195" i="1"/>
  <c r="O191" i="1"/>
  <c r="O185" i="1"/>
  <c r="O144" i="1"/>
  <c r="O183" i="1"/>
  <c r="O182" i="1"/>
  <c r="O210" i="1"/>
  <c r="O205" i="1"/>
  <c r="O309" i="1"/>
  <c r="O281" i="1"/>
  <c r="O298" i="1"/>
  <c r="O464" i="1"/>
  <c r="O280" i="1"/>
  <c r="O493" i="1"/>
  <c r="O329" i="1"/>
  <c r="O166" i="1"/>
  <c r="O458" i="1"/>
  <c r="O247" i="1"/>
  <c r="O7" i="1"/>
  <c r="O264" i="1"/>
  <c r="O209" i="1"/>
  <c r="O469" i="1"/>
  <c r="O96" i="1"/>
  <c r="O194" i="1"/>
  <c r="O452" i="1"/>
  <c r="O336" i="1"/>
  <c r="O223" i="1"/>
  <c r="O119" i="1"/>
  <c r="O328" i="1"/>
  <c r="O258" i="1"/>
  <c r="O117" i="1"/>
  <c r="O122" i="1"/>
  <c r="O109" i="1"/>
  <c r="O79" i="1"/>
  <c r="O420" i="1"/>
  <c r="O402" i="1"/>
  <c r="O421" i="1"/>
  <c r="O266" i="1"/>
  <c r="O211" i="1"/>
  <c r="O214" i="1"/>
  <c r="O425" i="1"/>
  <c r="O20" i="1"/>
  <c r="O152" i="1"/>
  <c r="O98" i="1"/>
  <c r="O460" i="1"/>
  <c r="O156" i="1"/>
  <c r="O29" i="1"/>
  <c r="O305" i="1"/>
  <c r="O178" i="1"/>
  <c r="O147" i="1"/>
  <c r="O129" i="1"/>
  <c r="O125" i="1"/>
  <c r="O387" i="1"/>
  <c r="O306" i="1"/>
  <c r="O217" i="1"/>
  <c r="O71" i="1"/>
  <c r="O224" i="1"/>
  <c r="O314" i="1"/>
  <c r="O322" i="1"/>
  <c r="O296" i="1"/>
  <c r="O89" i="1"/>
  <c r="O6" i="1"/>
  <c r="O483" i="1"/>
  <c r="O51" i="1"/>
  <c r="O13" i="1"/>
  <c r="O287" i="1"/>
  <c r="O25" i="1"/>
  <c r="O111" i="1"/>
  <c r="O355" i="1"/>
  <c r="O481" i="1"/>
  <c r="O334" i="1"/>
  <c r="O167" i="1"/>
  <c r="O254" i="1"/>
  <c r="O21" i="1"/>
  <c r="O161" i="1"/>
  <c r="O162" i="1"/>
  <c r="O293" i="1"/>
  <c r="O487" i="1"/>
  <c r="O15" i="1"/>
  <c r="O170" i="1"/>
  <c r="O19" i="1"/>
  <c r="O153" i="1"/>
  <c r="O101" i="1"/>
  <c r="O40" i="1"/>
  <c r="O416" i="1"/>
  <c r="O312" i="1"/>
  <c r="O400" i="1"/>
  <c r="O150" i="1"/>
  <c r="O251" i="1"/>
  <c r="O468" i="1"/>
  <c r="O265" i="1"/>
  <c r="O404" i="1"/>
  <c r="O139" i="1"/>
  <c r="O389" i="1"/>
  <c r="O148" i="1"/>
  <c r="O16" i="1"/>
  <c r="O262" i="1"/>
  <c r="O158" i="1"/>
  <c r="O31" i="1"/>
  <c r="O302" i="1"/>
  <c r="O97" i="1"/>
  <c r="O501" i="1"/>
  <c r="O42" i="1"/>
  <c r="O62" i="1"/>
  <c r="O412" i="1"/>
  <c r="O233" i="1"/>
  <c r="O411" i="1"/>
  <c r="O333" i="1"/>
  <c r="O143" i="1"/>
  <c r="O45" i="1"/>
  <c r="O432" i="1"/>
  <c r="O53" i="1"/>
  <c r="O359" i="1"/>
  <c r="O418" i="1"/>
  <c r="O236" i="1"/>
  <c r="O202" i="1"/>
  <c r="O83" i="1"/>
  <c r="O345" i="1"/>
  <c r="O2" i="1"/>
  <c r="O388" i="1"/>
  <c r="O286" i="1"/>
  <c r="O215" i="1"/>
  <c r="O308" i="1"/>
  <c r="O46" i="1"/>
  <c r="O5" i="1"/>
  <c r="O346" i="1"/>
  <c r="O456" i="1"/>
  <c r="O24" i="1"/>
  <c r="O75" i="1"/>
  <c r="O393" i="1"/>
  <c r="O330" i="1"/>
  <c r="O500" i="1"/>
  <c r="O433" i="1"/>
  <c r="O409" i="1"/>
  <c r="O118" i="1"/>
  <c r="O354" i="1"/>
  <c r="O463" i="1"/>
  <c r="O226" i="1"/>
  <c r="O238" i="1"/>
  <c r="O291" i="1"/>
  <c r="O128" i="1"/>
  <c r="O317" i="1"/>
  <c r="O310" i="1"/>
  <c r="O462" i="1"/>
  <c r="O220" i="1"/>
  <c r="O382" i="1"/>
  <c r="O227" i="1"/>
  <c r="O376" i="1"/>
  <c r="O208" i="1"/>
  <c r="O362" i="1"/>
  <c r="O392" i="1"/>
  <c r="O74" i="1"/>
  <c r="O438" i="1"/>
  <c r="O225" i="1"/>
  <c r="O159" i="1"/>
  <c r="O123" i="1"/>
  <c r="O321" i="1"/>
  <c r="O263" i="1"/>
  <c r="O331" i="1"/>
  <c r="O335" i="1"/>
  <c r="O367" i="1"/>
  <c r="O498" i="1"/>
  <c r="O272" i="1"/>
  <c r="O121" i="1"/>
  <c r="O10" i="1"/>
  <c r="O63" i="1"/>
  <c r="O448" i="1"/>
  <c r="O390" i="1"/>
  <c r="O47" i="1"/>
  <c r="O496" i="1"/>
  <c r="O325" i="1"/>
  <c r="O344" i="1"/>
  <c r="O494" i="1"/>
  <c r="O480" i="1"/>
  <c r="O397" i="1"/>
  <c r="O406" i="1"/>
  <c r="O419" i="1"/>
  <c r="O213" i="1"/>
  <c r="O318" i="1"/>
  <c r="O363" i="1"/>
  <c r="O237" i="1"/>
  <c r="O86" i="1"/>
  <c r="O206" i="1"/>
  <c r="O81" i="1"/>
  <c r="O277" i="1"/>
  <c r="O23" i="1"/>
  <c r="O327" i="1"/>
  <c r="O30" i="1"/>
  <c r="O171" i="1"/>
  <c r="O349" i="1"/>
  <c r="O399" i="1"/>
  <c r="O381" i="1"/>
  <c r="O323" i="1"/>
  <c r="O68" i="1"/>
  <c r="O424" i="1"/>
  <c r="O72" i="1"/>
  <c r="O435" i="1"/>
  <c r="O371" i="1"/>
  <c r="O459" i="1"/>
  <c r="O269" i="1"/>
  <c r="O107" i="1"/>
  <c r="O52" i="1"/>
  <c r="O64" i="1"/>
  <c r="O28" i="1"/>
  <c r="O422" i="1"/>
  <c r="O431" i="1"/>
  <c r="O356" i="1"/>
  <c r="O256" i="1"/>
  <c r="O492" i="1"/>
  <c r="O241" i="1"/>
  <c r="O304" i="1"/>
  <c r="O255" i="1"/>
  <c r="O190" i="1"/>
  <c r="O373" i="1"/>
  <c r="O135" i="1"/>
  <c r="O124" i="1"/>
  <c r="O385" i="1"/>
  <c r="O155" i="1"/>
  <c r="O288" i="1"/>
  <c r="O189" i="1"/>
  <c r="O261" i="1"/>
  <c r="O126" i="1"/>
  <c r="O134" i="1"/>
  <c r="O106" i="1"/>
  <c r="O410" i="1"/>
  <c r="O299" i="1"/>
  <c r="O417" i="1"/>
  <c r="O426" i="1"/>
  <c r="O160" i="1"/>
  <c r="O414" i="1"/>
  <c r="O260" i="1"/>
  <c r="O228" i="1"/>
  <c r="O451" i="1"/>
  <c r="O357" i="1"/>
  <c r="O184" i="1"/>
  <c r="O347" i="1"/>
  <c r="O56" i="1"/>
  <c r="O311" i="1"/>
  <c r="O39" i="1"/>
  <c r="O82" i="1"/>
  <c r="O365" i="1"/>
  <c r="O4" i="1"/>
  <c r="O484" i="1"/>
  <c r="O408" i="1"/>
  <c r="O18" i="1"/>
  <c r="O495" i="1"/>
  <c r="O497" i="1"/>
  <c r="O222" i="1"/>
  <c r="O88" i="1"/>
  <c r="O475" i="1"/>
  <c r="O188" i="1"/>
  <c r="O297" i="1"/>
  <c r="O445" i="1"/>
  <c r="O230" i="1"/>
  <c r="O212" i="1"/>
  <c r="O55" i="1"/>
  <c r="O137" i="1"/>
  <c r="O207" i="1"/>
  <c r="O59" i="1"/>
  <c r="O66" i="1"/>
  <c r="O271" i="1"/>
  <c r="O17" i="1"/>
  <c r="O100" i="1"/>
  <c r="O488" i="1"/>
  <c r="O187" i="1"/>
  <c r="O157" i="1"/>
  <c r="O186" i="1"/>
  <c r="O193" i="1"/>
  <c r="O364" i="1"/>
  <c r="O350" i="1"/>
  <c r="O174" i="1"/>
  <c r="O216" i="1"/>
  <c r="O455" i="1"/>
  <c r="O38" i="1"/>
  <c r="O253" i="1"/>
  <c r="O290" i="1"/>
  <c r="O114" i="1"/>
  <c r="O239" i="1"/>
  <c r="O91" i="1"/>
  <c r="O375" i="1"/>
  <c r="O49" i="1"/>
  <c r="O429" i="1"/>
  <c r="O249" i="1"/>
  <c r="O164" i="1"/>
  <c r="O77" i="1"/>
  <c r="O427" i="1"/>
  <c r="O130" i="1"/>
  <c r="O65" i="1"/>
  <c r="O428" i="1"/>
  <c r="O93" i="1"/>
  <c r="O242" i="1"/>
  <c r="O405" i="1"/>
  <c r="O295" i="1"/>
  <c r="O478" i="1"/>
  <c r="O105" i="1"/>
  <c r="B326" i="1"/>
  <c r="T326" i="1"/>
  <c r="T388" i="1"/>
  <c r="T315" i="1"/>
  <c r="T169" i="1"/>
  <c r="T307" i="1"/>
  <c r="T338" i="1"/>
  <c r="T439" i="1"/>
  <c r="T284" i="1"/>
  <c r="T259" i="1"/>
  <c r="T109" i="1"/>
  <c r="T204" i="1"/>
  <c r="T244" i="1"/>
  <c r="T278" i="1"/>
  <c r="T372" i="1"/>
  <c r="T289" i="1"/>
  <c r="T61" i="1"/>
  <c r="T369" i="1"/>
  <c r="T103" i="1"/>
  <c r="T100" i="1"/>
  <c r="T67" i="1"/>
  <c r="T245" i="1"/>
  <c r="T90" i="1"/>
  <c r="T234" i="1"/>
  <c r="T48" i="1"/>
  <c r="T415" i="1"/>
  <c r="T41" i="1"/>
  <c r="T364" i="1"/>
  <c r="T76" i="1"/>
  <c r="T380" i="1"/>
  <c r="T80" i="1"/>
  <c r="T361" i="1"/>
  <c r="T81" i="1"/>
  <c r="T441" i="1"/>
  <c r="T293" i="1"/>
  <c r="T337" i="1"/>
  <c r="T347" i="1"/>
  <c r="T37" i="1"/>
  <c r="T95" i="1"/>
  <c r="T267" i="1"/>
  <c r="T146" i="1"/>
  <c r="T477" i="1"/>
  <c r="T60" i="1"/>
  <c r="T309" i="1"/>
  <c r="T319" i="1"/>
  <c r="T138" i="1"/>
  <c r="T3" i="1"/>
  <c r="T486" i="1"/>
  <c r="T73" i="1"/>
  <c r="T286" i="1"/>
  <c r="T58" i="1"/>
  <c r="T102" i="1"/>
  <c r="T197" i="1"/>
  <c r="T120" i="1"/>
  <c r="T450" i="1"/>
  <c r="T360" i="1"/>
  <c r="T177" i="1"/>
  <c r="T351" i="1"/>
  <c r="T151" i="1"/>
  <c r="T463" i="1"/>
  <c r="T457" i="1"/>
  <c r="T424" i="1"/>
  <c r="T379" i="1"/>
  <c r="T491" i="1"/>
  <c r="T193" i="1"/>
  <c r="T377" i="1"/>
  <c r="T446" i="1"/>
  <c r="T219" i="1"/>
  <c r="T257" i="1"/>
  <c r="T110" i="1"/>
  <c r="T78" i="1"/>
  <c r="T99" i="1"/>
  <c r="T44" i="1"/>
  <c r="T113" i="1"/>
  <c r="T209" i="1"/>
  <c r="T482" i="1"/>
  <c r="T42" i="1"/>
  <c r="T404" i="1"/>
  <c r="T12" i="1"/>
  <c r="T285" i="1"/>
  <c r="T252" i="1"/>
  <c r="T143" i="1"/>
  <c r="T34" i="1"/>
  <c r="T473" i="1"/>
  <c r="T273" i="1"/>
  <c r="T292" i="1"/>
  <c r="T14" i="1"/>
  <c r="T240" i="1"/>
  <c r="T440" i="1"/>
  <c r="T358" i="1"/>
  <c r="T8" i="1"/>
  <c r="T163" i="1"/>
  <c r="T435" i="1"/>
  <c r="T269" i="1"/>
  <c r="T324" i="1"/>
  <c r="T470" i="1"/>
  <c r="T229" i="1"/>
  <c r="T398" i="1"/>
  <c r="T339" i="1"/>
  <c r="T370" i="1"/>
  <c r="T332" i="1"/>
  <c r="T149" i="1"/>
  <c r="T165" i="1"/>
  <c r="T104" i="1"/>
  <c r="T27" i="1"/>
  <c r="T449" i="1"/>
  <c r="T268" i="1"/>
  <c r="T443" i="1"/>
  <c r="T466" i="1"/>
  <c r="T274" i="1"/>
  <c r="T50" i="1"/>
  <c r="T218" i="1"/>
  <c r="T127" i="1"/>
  <c r="T343" i="1"/>
  <c r="T154" i="1"/>
  <c r="T340" i="1"/>
  <c r="T133" i="1"/>
  <c r="T116" i="1"/>
  <c r="T54" i="1"/>
  <c r="T303" i="1"/>
  <c r="T485" i="1"/>
  <c r="T453" i="1"/>
  <c r="T378" i="1"/>
  <c r="T183" i="1"/>
  <c r="T276" i="1"/>
  <c r="T22" i="1"/>
  <c r="T179" i="1"/>
  <c r="T85" i="1"/>
  <c r="T294" i="1"/>
  <c r="T447" i="1"/>
  <c r="T7" i="1"/>
  <c r="T125" i="1"/>
  <c r="T26" i="1"/>
  <c r="T279" i="1"/>
  <c r="T201" i="1"/>
  <c r="T20" i="1"/>
  <c r="T401" i="1"/>
  <c r="T406" i="1"/>
  <c r="T136" i="1"/>
  <c r="T200" i="1"/>
  <c r="T119" i="1"/>
  <c r="T11" i="1"/>
  <c r="T199" i="1"/>
  <c r="T405" i="1"/>
  <c r="T472" i="1"/>
  <c r="T172" i="1"/>
  <c r="T442" i="1"/>
  <c r="T476" i="1"/>
  <c r="T175" i="1"/>
  <c r="T362" i="1"/>
  <c r="T221" i="1"/>
  <c r="T444" i="1"/>
  <c r="T434" i="1"/>
  <c r="T115" i="1"/>
  <c r="T465" i="1"/>
  <c r="T112" i="1"/>
  <c r="T461" i="1"/>
  <c r="T352" i="1"/>
  <c r="T40" i="1"/>
  <c r="T301" i="1"/>
  <c r="T108" i="1"/>
  <c r="T489" i="1"/>
  <c r="T310" i="1"/>
  <c r="T270" i="1"/>
  <c r="T168" i="1"/>
  <c r="T436" i="1"/>
  <c r="T407" i="1"/>
  <c r="T170" i="1"/>
  <c r="T196" i="1"/>
  <c r="T248" i="1"/>
  <c r="T232" i="1"/>
  <c r="T189" i="1"/>
  <c r="T176" i="1"/>
  <c r="T316" i="1"/>
  <c r="T131" i="1"/>
  <c r="T281" i="1"/>
  <c r="T9" i="1"/>
  <c r="T142" i="1"/>
  <c r="T437" i="1"/>
  <c r="T94" i="1"/>
  <c r="T366" i="1"/>
  <c r="T241" i="1"/>
  <c r="T395" i="1"/>
  <c r="T203" i="1"/>
  <c r="T192" i="1"/>
  <c r="T275" i="1"/>
  <c r="T321" i="1"/>
  <c r="T423" i="1"/>
  <c r="T454" i="1"/>
  <c r="T181" i="1"/>
  <c r="T419" i="1"/>
  <c r="T396" i="1"/>
  <c r="T397" i="1"/>
  <c r="T297" i="1"/>
  <c r="T467" i="1"/>
  <c r="T173" i="1"/>
  <c r="T157" i="1"/>
  <c r="T471" i="1"/>
  <c r="T250" i="1"/>
  <c r="T313" i="1"/>
  <c r="T84" i="1"/>
  <c r="T403" i="1"/>
  <c r="T490" i="1"/>
  <c r="T97" i="1"/>
  <c r="T235" i="1"/>
  <c r="T391" i="1"/>
  <c r="T429" i="1"/>
  <c r="T191" i="1"/>
  <c r="T185" i="1"/>
  <c r="T144" i="1"/>
  <c r="T448" i="1"/>
  <c r="T182" i="1"/>
  <c r="T210" i="1"/>
  <c r="T205" i="1"/>
  <c r="T171" i="1"/>
  <c r="T430" i="1"/>
  <c r="T298" i="1"/>
  <c r="T167" i="1"/>
  <c r="T280" i="1"/>
  <c r="T493" i="1"/>
  <c r="T329" i="1"/>
  <c r="T166" i="1"/>
  <c r="T458" i="1"/>
  <c r="T247" i="1"/>
  <c r="T180" i="1"/>
  <c r="T264" i="1"/>
  <c r="T70" i="1"/>
  <c r="T469" i="1"/>
  <c r="T96" i="1"/>
  <c r="T194" i="1"/>
  <c r="T452" i="1"/>
  <c r="T336" i="1"/>
  <c r="T428" i="1"/>
  <c r="T394" i="1"/>
  <c r="T328" i="1"/>
  <c r="T258" i="1"/>
  <c r="T117" i="1"/>
  <c r="T122" i="1"/>
  <c r="T69" i="1"/>
  <c r="T79" i="1"/>
  <c r="T420" i="1"/>
  <c r="T402" i="1"/>
  <c r="T421" i="1"/>
  <c r="T266" i="1"/>
  <c r="T211" i="1"/>
  <c r="T214" i="1"/>
  <c r="T425" i="1"/>
  <c r="T320" i="1"/>
  <c r="T152" i="1"/>
  <c r="T98" i="1"/>
  <c r="T156" i="1"/>
  <c r="T92" i="1"/>
  <c r="T29" i="1"/>
  <c r="T305" i="1"/>
  <c r="T178" i="1"/>
  <c r="T147" i="1"/>
  <c r="T129" i="1"/>
  <c r="T464" i="1"/>
  <c r="T387" i="1"/>
  <c r="T306" i="1"/>
  <c r="T217" i="1"/>
  <c r="T71" i="1"/>
  <c r="T43" i="1"/>
  <c r="T314" i="1"/>
  <c r="T322" i="1"/>
  <c r="T296" i="1"/>
  <c r="T75" i="1"/>
  <c r="T6" i="1"/>
  <c r="T432" i="1"/>
  <c r="T51" i="1"/>
  <c r="T260" i="1"/>
  <c r="T287" i="1"/>
  <c r="T132" i="1"/>
  <c r="T111" i="1"/>
  <c r="T355" i="1"/>
  <c r="T481" i="1"/>
  <c r="T334" i="1"/>
  <c r="T308" i="1"/>
  <c r="T254" i="1"/>
  <c r="T290" i="1"/>
  <c r="T161" i="1"/>
  <c r="T39" i="1"/>
  <c r="T341" i="1"/>
  <c r="T487" i="1"/>
  <c r="T15" i="1"/>
  <c r="T162" i="1"/>
  <c r="T19" i="1"/>
  <c r="T153" i="1"/>
  <c r="T101" i="1"/>
  <c r="T474" i="1"/>
  <c r="T416" i="1"/>
  <c r="T312" i="1"/>
  <c r="T400" i="1"/>
  <c r="T150" i="1"/>
  <c r="T251" i="1"/>
  <c r="T468" i="1"/>
  <c r="T265" i="1"/>
  <c r="T237" i="1"/>
  <c r="T139" i="1"/>
  <c r="T475" i="1"/>
  <c r="T148" i="1"/>
  <c r="T16" i="1"/>
  <c r="T262" i="1"/>
  <c r="T158" i="1"/>
  <c r="T31" i="1"/>
  <c r="T302" i="1"/>
  <c r="T93" i="1"/>
  <c r="T501" i="1"/>
  <c r="T348" i="1"/>
  <c r="T62" i="1"/>
  <c r="T412" i="1"/>
  <c r="T233" i="1"/>
  <c r="T411" i="1"/>
  <c r="T333" i="1"/>
  <c r="T33" i="1"/>
  <c r="T45" i="1"/>
  <c r="T18" i="1"/>
  <c r="T368" i="1"/>
  <c r="T359" i="1"/>
  <c r="T418" i="1"/>
  <c r="T236" i="1"/>
  <c r="T202" i="1"/>
  <c r="T83" i="1"/>
  <c r="T345" i="1"/>
  <c r="T2" i="1"/>
  <c r="T87" i="1"/>
  <c r="T130" i="1"/>
  <c r="T215" i="1"/>
  <c r="T35" i="1"/>
  <c r="T46" i="1"/>
  <c r="T32" i="1"/>
  <c r="T346" i="1"/>
  <c r="T243" i="1"/>
  <c r="T24" i="1"/>
  <c r="T195" i="1"/>
  <c r="T393" i="1"/>
  <c r="T330" i="1"/>
  <c r="T500" i="1"/>
  <c r="T433" i="1"/>
  <c r="T409" i="1"/>
  <c r="T118" i="1"/>
  <c r="T354" i="1"/>
  <c r="T384" i="1"/>
  <c r="T226" i="1"/>
  <c r="T238" i="1"/>
  <c r="T291" i="1"/>
  <c r="T128" i="1"/>
  <c r="T317" i="1"/>
  <c r="T13" i="1"/>
  <c r="T462" i="1"/>
  <c r="T220" i="1"/>
  <c r="T382" i="1"/>
  <c r="T227" i="1"/>
  <c r="T376" i="1"/>
  <c r="T389" i="1"/>
  <c r="T246" i="1"/>
  <c r="T392" i="1"/>
  <c r="T74" i="1"/>
  <c r="T438" i="1"/>
  <c r="T225" i="1"/>
  <c r="T159" i="1"/>
  <c r="T123" i="1"/>
  <c r="T224" i="1"/>
  <c r="T263" i="1"/>
  <c r="T383" i="1"/>
  <c r="T335" i="1"/>
  <c r="T10" i="1"/>
  <c r="T498" i="1"/>
  <c r="T53" i="1"/>
  <c r="T121" i="1"/>
  <c r="T86" i="1"/>
  <c r="T190" i="1"/>
  <c r="T483" i="1"/>
  <c r="T390" i="1"/>
  <c r="T47" i="1"/>
  <c r="T496" i="1"/>
  <c r="T325" i="1"/>
  <c r="T344" i="1"/>
  <c r="T431" i="1"/>
  <c r="T480" i="1"/>
  <c r="T479" i="1"/>
  <c r="T145" i="1"/>
  <c r="T261" i="1"/>
  <c r="T213" i="1"/>
  <c r="T318" i="1"/>
  <c r="T363" i="1"/>
  <c r="T374" i="1"/>
  <c r="T188" i="1"/>
  <c r="T206" i="1"/>
  <c r="T494" i="1"/>
  <c r="T277" i="1"/>
  <c r="T23" i="1"/>
  <c r="T327" i="1"/>
  <c r="T30" i="1"/>
  <c r="T231" i="1"/>
  <c r="T272" i="1"/>
  <c r="T399" i="1"/>
  <c r="T381" i="1"/>
  <c r="T323" i="1"/>
  <c r="T68" i="1"/>
  <c r="T134" i="1"/>
  <c r="T72" i="1"/>
  <c r="T126" i="1"/>
  <c r="T371" i="1"/>
  <c r="T459" i="1"/>
  <c r="T413" i="1"/>
  <c r="T107" i="1"/>
  <c r="T52" i="1"/>
  <c r="T64" i="1"/>
  <c r="T28" i="1"/>
  <c r="T422" i="1"/>
  <c r="T282" i="1"/>
  <c r="T356" i="1"/>
  <c r="T256" i="1"/>
  <c r="T492" i="1"/>
  <c r="T300" i="1"/>
  <c r="T208" i="1"/>
  <c r="T255" i="1"/>
  <c r="T342" i="1"/>
  <c r="T373" i="1"/>
  <c r="T135" i="1"/>
  <c r="T124" i="1"/>
  <c r="T385" i="1"/>
  <c r="T155" i="1"/>
  <c r="T288" i="1"/>
  <c r="T242" i="1"/>
  <c r="T89" i="1"/>
  <c r="T386" i="1"/>
  <c r="T198" i="1"/>
  <c r="T106" i="1"/>
  <c r="T410" i="1"/>
  <c r="T299" i="1"/>
  <c r="T417" i="1"/>
  <c r="T426" i="1"/>
  <c r="T160" i="1"/>
  <c r="T414" i="1"/>
  <c r="T140" i="1"/>
  <c r="T228" i="1"/>
  <c r="T451" i="1"/>
  <c r="T357" i="1"/>
  <c r="T184" i="1"/>
  <c r="T460" i="1"/>
  <c r="T56" i="1"/>
  <c r="T311" i="1"/>
  <c r="T499" i="1"/>
  <c r="T82" i="1"/>
  <c r="T365" i="1"/>
  <c r="T4" i="1"/>
  <c r="T484" i="1"/>
  <c r="T408" i="1"/>
  <c r="T63" i="1"/>
  <c r="T495" i="1"/>
  <c r="T497" i="1"/>
  <c r="T222" i="1"/>
  <c r="T88" i="1"/>
  <c r="T353" i="1"/>
  <c r="T5" i="1"/>
  <c r="T331" i="1"/>
  <c r="T445" i="1"/>
  <c r="T230" i="1"/>
  <c r="T212" i="1"/>
  <c r="T55" i="1"/>
  <c r="T137" i="1"/>
  <c r="T207" i="1"/>
  <c r="T59" i="1"/>
  <c r="T66" i="1"/>
  <c r="T271" i="1"/>
  <c r="T17" i="1"/>
  <c r="T304" i="1"/>
  <c r="T488" i="1"/>
  <c r="T187" i="1"/>
  <c r="T36" i="1"/>
  <c r="T186" i="1"/>
  <c r="T141" i="1"/>
  <c r="T25" i="1"/>
  <c r="T350" i="1"/>
  <c r="T174" i="1"/>
  <c r="T216" i="1"/>
  <c r="T455" i="1"/>
  <c r="T38" i="1"/>
  <c r="T253" i="1"/>
  <c r="T367" i="1"/>
  <c r="T114" i="1"/>
  <c r="T239" i="1"/>
  <c r="T91" i="1"/>
  <c r="T375" i="1"/>
  <c r="T49" i="1"/>
  <c r="T349" i="1"/>
  <c r="T249" i="1"/>
  <c r="T164" i="1"/>
  <c r="T77" i="1"/>
  <c r="T427" i="1"/>
  <c r="T21" i="1"/>
  <c r="T65" i="1"/>
  <c r="T283" i="1"/>
  <c r="T57" i="1"/>
  <c r="T456" i="1"/>
  <c r="T223" i="1"/>
  <c r="T295" i="1"/>
  <c r="T478" i="1"/>
  <c r="T105" i="1"/>
  <c r="S326" i="1"/>
  <c r="S388" i="1"/>
  <c r="S169" i="1"/>
  <c r="S307" i="1"/>
  <c r="S338" i="1"/>
  <c r="S439" i="1"/>
  <c r="S284" i="1"/>
  <c r="S259" i="1"/>
  <c r="S109" i="1"/>
  <c r="S204" i="1"/>
  <c r="S244" i="1"/>
  <c r="S278" i="1"/>
  <c r="S372" i="1"/>
  <c r="S289" i="1"/>
  <c r="S61" i="1"/>
  <c r="S369" i="1"/>
  <c r="S103" i="1"/>
  <c r="S100" i="1"/>
  <c r="S67" i="1"/>
  <c r="S245" i="1"/>
  <c r="S90" i="1"/>
  <c r="S234" i="1"/>
  <c r="S48" i="1"/>
  <c r="S415" i="1"/>
  <c r="S41" i="1"/>
  <c r="S364" i="1"/>
  <c r="S76" i="1"/>
  <c r="S380" i="1"/>
  <c r="S80" i="1"/>
  <c r="S361" i="1"/>
  <c r="S81" i="1"/>
  <c r="S441" i="1"/>
  <c r="S293" i="1"/>
  <c r="S337" i="1"/>
  <c r="S347" i="1"/>
  <c r="S37" i="1"/>
  <c r="S95" i="1"/>
  <c r="S267" i="1"/>
  <c r="S146" i="1"/>
  <c r="S477" i="1"/>
  <c r="S60" i="1"/>
  <c r="S309" i="1"/>
  <c r="S319" i="1"/>
  <c r="S138" i="1"/>
  <c r="S3" i="1"/>
  <c r="S486" i="1"/>
  <c r="S73" i="1"/>
  <c r="S286" i="1"/>
  <c r="S58" i="1"/>
  <c r="S102" i="1"/>
  <c r="S197" i="1"/>
  <c r="S120" i="1"/>
  <c r="S450" i="1"/>
  <c r="S360" i="1"/>
  <c r="S177" i="1"/>
  <c r="S351" i="1"/>
  <c r="S151" i="1"/>
  <c r="S463" i="1"/>
  <c r="S457" i="1"/>
  <c r="S424" i="1"/>
  <c r="S379" i="1"/>
  <c r="S491" i="1"/>
  <c r="S193" i="1"/>
  <c r="S377" i="1"/>
  <c r="S446" i="1"/>
  <c r="S219" i="1"/>
  <c r="S257" i="1"/>
  <c r="S110" i="1"/>
  <c r="S78" i="1"/>
  <c r="S99" i="1"/>
  <c r="S44" i="1"/>
  <c r="S113" i="1"/>
  <c r="S209" i="1"/>
  <c r="S482" i="1"/>
  <c r="S42" i="1"/>
  <c r="S404" i="1"/>
  <c r="S12" i="1"/>
  <c r="S285" i="1"/>
  <c r="S252" i="1"/>
  <c r="S143" i="1"/>
  <c r="S34" i="1"/>
  <c r="S473" i="1"/>
  <c r="S273" i="1"/>
  <c r="S292" i="1"/>
  <c r="S14" i="1"/>
  <c r="S240" i="1"/>
  <c r="S440" i="1"/>
  <c r="S358" i="1"/>
  <c r="S8" i="1"/>
  <c r="S163" i="1"/>
  <c r="S435" i="1"/>
  <c r="S269" i="1"/>
  <c r="S324" i="1"/>
  <c r="S470" i="1"/>
  <c r="S229" i="1"/>
  <c r="S398" i="1"/>
  <c r="S339" i="1"/>
  <c r="S370" i="1"/>
  <c r="S332" i="1"/>
  <c r="S149" i="1"/>
  <c r="S165" i="1"/>
  <c r="S104" i="1"/>
  <c r="S27" i="1"/>
  <c r="S449" i="1"/>
  <c r="S268" i="1"/>
  <c r="S443" i="1"/>
  <c r="S466" i="1"/>
  <c r="S274" i="1"/>
  <c r="S50" i="1"/>
  <c r="S218" i="1"/>
  <c r="S127" i="1"/>
  <c r="S343" i="1"/>
  <c r="S154" i="1"/>
  <c r="S340" i="1"/>
  <c r="S133" i="1"/>
  <c r="S116" i="1"/>
  <c r="S54" i="1"/>
  <c r="S303" i="1"/>
  <c r="S485" i="1"/>
  <c r="S453" i="1"/>
  <c r="S378" i="1"/>
  <c r="S183" i="1"/>
  <c r="S276" i="1"/>
  <c r="S22" i="1"/>
  <c r="S179" i="1"/>
  <c r="S85" i="1"/>
  <c r="S294" i="1"/>
  <c r="S447" i="1"/>
  <c r="S7" i="1"/>
  <c r="S125" i="1"/>
  <c r="S26" i="1"/>
  <c r="S279" i="1"/>
  <c r="S201" i="1"/>
  <c r="S20" i="1"/>
  <c r="S401" i="1"/>
  <c r="S406" i="1"/>
  <c r="S136" i="1"/>
  <c r="S200" i="1"/>
  <c r="S119" i="1"/>
  <c r="S11" i="1"/>
  <c r="S199" i="1"/>
  <c r="S405" i="1"/>
  <c r="S472" i="1"/>
  <c r="S172" i="1"/>
  <c r="S442" i="1"/>
  <c r="S476" i="1"/>
  <c r="S175" i="1"/>
  <c r="S362" i="1"/>
  <c r="S221" i="1"/>
  <c r="S444" i="1"/>
  <c r="S434" i="1"/>
  <c r="S115" i="1"/>
  <c r="S465" i="1"/>
  <c r="S112" i="1"/>
  <c r="S461" i="1"/>
  <c r="S352" i="1"/>
  <c r="S40" i="1"/>
  <c r="S301" i="1"/>
  <c r="S108" i="1"/>
  <c r="S489" i="1"/>
  <c r="S310" i="1"/>
  <c r="S270" i="1"/>
  <c r="S168" i="1"/>
  <c r="S436" i="1"/>
  <c r="S407" i="1"/>
  <c r="S170" i="1"/>
  <c r="S196" i="1"/>
  <c r="S248" i="1"/>
  <c r="S232" i="1"/>
  <c r="S189" i="1"/>
  <c r="S176" i="1"/>
  <c r="S316" i="1"/>
  <c r="S131" i="1"/>
  <c r="S281" i="1"/>
  <c r="S9" i="1"/>
  <c r="S142" i="1"/>
  <c r="S437" i="1"/>
  <c r="S94" i="1"/>
  <c r="S366" i="1"/>
  <c r="S241" i="1"/>
  <c r="S395" i="1"/>
  <c r="S203" i="1"/>
  <c r="S192" i="1"/>
  <c r="S275" i="1"/>
  <c r="S321" i="1"/>
  <c r="S423" i="1"/>
  <c r="S454" i="1"/>
  <c r="S181" i="1"/>
  <c r="S419" i="1"/>
  <c r="S396" i="1"/>
  <c r="S397" i="1"/>
  <c r="S297" i="1"/>
  <c r="S467" i="1"/>
  <c r="S173" i="1"/>
  <c r="S157" i="1"/>
  <c r="S471" i="1"/>
  <c r="S250" i="1"/>
  <c r="S313" i="1"/>
  <c r="S84" i="1"/>
  <c r="S403" i="1"/>
  <c r="S490" i="1"/>
  <c r="S97" i="1"/>
  <c r="S235" i="1"/>
  <c r="S391" i="1"/>
  <c r="S429" i="1"/>
  <c r="S191" i="1"/>
  <c r="S185" i="1"/>
  <c r="S144" i="1"/>
  <c r="S448" i="1"/>
  <c r="S182" i="1"/>
  <c r="S210" i="1"/>
  <c r="S205" i="1"/>
  <c r="S171" i="1"/>
  <c r="S430" i="1"/>
  <c r="S298" i="1"/>
  <c r="S167" i="1"/>
  <c r="S280" i="1"/>
  <c r="S493" i="1"/>
  <c r="S329" i="1"/>
  <c r="S166" i="1"/>
  <c r="S458" i="1"/>
  <c r="S247" i="1"/>
  <c r="S180" i="1"/>
  <c r="S264" i="1"/>
  <c r="S70" i="1"/>
  <c r="S469" i="1"/>
  <c r="S96" i="1"/>
  <c r="S194" i="1"/>
  <c r="S452" i="1"/>
  <c r="S336" i="1"/>
  <c r="S428" i="1"/>
  <c r="S394" i="1"/>
  <c r="S328" i="1"/>
  <c r="S258" i="1"/>
  <c r="S117" i="1"/>
  <c r="S122" i="1"/>
  <c r="S69" i="1"/>
  <c r="S79" i="1"/>
  <c r="S420" i="1"/>
  <c r="S402" i="1"/>
  <c r="S421" i="1"/>
  <c r="S266" i="1"/>
  <c r="S211" i="1"/>
  <c r="S214" i="1"/>
  <c r="S425" i="1"/>
  <c r="S320" i="1"/>
  <c r="S152" i="1"/>
  <c r="S98" i="1"/>
  <c r="S156" i="1"/>
  <c r="S92" i="1"/>
  <c r="S29" i="1"/>
  <c r="S305" i="1"/>
  <c r="S178" i="1"/>
  <c r="S147" i="1"/>
  <c r="S129" i="1"/>
  <c r="S464" i="1"/>
  <c r="S387" i="1"/>
  <c r="S306" i="1"/>
  <c r="S217" i="1"/>
  <c r="S71" i="1"/>
  <c r="S43" i="1"/>
  <c r="S314" i="1"/>
  <c r="S322" i="1"/>
  <c r="S296" i="1"/>
  <c r="S75" i="1"/>
  <c r="S6" i="1"/>
  <c r="S432" i="1"/>
  <c r="S51" i="1"/>
  <c r="S260" i="1"/>
  <c r="S287" i="1"/>
  <c r="S132" i="1"/>
  <c r="S111" i="1"/>
  <c r="S355" i="1"/>
  <c r="S481" i="1"/>
  <c r="S334" i="1"/>
  <c r="S308" i="1"/>
  <c r="S254" i="1"/>
  <c r="S290" i="1"/>
  <c r="S161" i="1"/>
  <c r="S39" i="1"/>
  <c r="S341" i="1"/>
  <c r="S487" i="1"/>
  <c r="S15" i="1"/>
  <c r="S162" i="1"/>
  <c r="S19" i="1"/>
  <c r="S153" i="1"/>
  <c r="S101" i="1"/>
  <c r="S474" i="1"/>
  <c r="S416" i="1"/>
  <c r="S312" i="1"/>
  <c r="S400" i="1"/>
  <c r="S150" i="1"/>
  <c r="S251" i="1"/>
  <c r="S468" i="1"/>
  <c r="S265" i="1"/>
  <c r="S237" i="1"/>
  <c r="S139" i="1"/>
  <c r="S475" i="1"/>
  <c r="S148" i="1"/>
  <c r="S16" i="1"/>
  <c r="S262" i="1"/>
  <c r="S158" i="1"/>
  <c r="S31" i="1"/>
  <c r="S302" i="1"/>
  <c r="S93" i="1"/>
  <c r="S501" i="1"/>
  <c r="S348" i="1"/>
  <c r="S62" i="1"/>
  <c r="S412" i="1"/>
  <c r="S233" i="1"/>
  <c r="S411" i="1"/>
  <c r="S333" i="1"/>
  <c r="S33" i="1"/>
  <c r="S45" i="1"/>
  <c r="S18" i="1"/>
  <c r="S368" i="1"/>
  <c r="S359" i="1"/>
  <c r="S418" i="1"/>
  <c r="S236" i="1"/>
  <c r="S202" i="1"/>
  <c r="S83" i="1"/>
  <c r="S345" i="1"/>
  <c r="S2" i="1"/>
  <c r="S87" i="1"/>
  <c r="S130" i="1"/>
  <c r="S215" i="1"/>
  <c r="S35" i="1"/>
  <c r="S46" i="1"/>
  <c r="S32" i="1"/>
  <c r="S346" i="1"/>
  <c r="S243" i="1"/>
  <c r="S24" i="1"/>
  <c r="S195" i="1"/>
  <c r="S393" i="1"/>
  <c r="S330" i="1"/>
  <c r="S500" i="1"/>
  <c r="S433" i="1"/>
  <c r="S409" i="1"/>
  <c r="S118" i="1"/>
  <c r="S354" i="1"/>
  <c r="S384" i="1"/>
  <c r="S226" i="1"/>
  <c r="S238" i="1"/>
  <c r="S291" i="1"/>
  <c r="S128" i="1"/>
  <c r="S317" i="1"/>
  <c r="S13" i="1"/>
  <c r="S462" i="1"/>
  <c r="S220" i="1"/>
  <c r="S382" i="1"/>
  <c r="S227" i="1"/>
  <c r="S376" i="1"/>
  <c r="S389" i="1"/>
  <c r="S246" i="1"/>
  <c r="S392" i="1"/>
  <c r="S74" i="1"/>
  <c r="S438" i="1"/>
  <c r="S225" i="1"/>
  <c r="S159" i="1"/>
  <c r="S123" i="1"/>
  <c r="S224" i="1"/>
  <c r="S263" i="1"/>
  <c r="S383" i="1"/>
  <c r="S335" i="1"/>
  <c r="S10" i="1"/>
  <c r="S498" i="1"/>
  <c r="S53" i="1"/>
  <c r="S121" i="1"/>
  <c r="S86" i="1"/>
  <c r="S190" i="1"/>
  <c r="S483" i="1"/>
  <c r="S390" i="1"/>
  <c r="S47" i="1"/>
  <c r="S496" i="1"/>
  <c r="S325" i="1"/>
  <c r="S344" i="1"/>
  <c r="S431" i="1"/>
  <c r="S480" i="1"/>
  <c r="S479" i="1"/>
  <c r="S145" i="1"/>
  <c r="S261" i="1"/>
  <c r="S213" i="1"/>
  <c r="S318" i="1"/>
  <c r="S363" i="1"/>
  <c r="S374" i="1"/>
  <c r="S188" i="1"/>
  <c r="S206" i="1"/>
  <c r="S494" i="1"/>
  <c r="S277" i="1"/>
  <c r="S23" i="1"/>
  <c r="S327" i="1"/>
  <c r="S30" i="1"/>
  <c r="S231" i="1"/>
  <c r="S272" i="1"/>
  <c r="S399" i="1"/>
  <c r="S381" i="1"/>
  <c r="S323" i="1"/>
  <c r="S68" i="1"/>
  <c r="S134" i="1"/>
  <c r="S72" i="1"/>
  <c r="S126" i="1"/>
  <c r="S371" i="1"/>
  <c r="S459" i="1"/>
  <c r="S413" i="1"/>
  <c r="S107" i="1"/>
  <c r="S52" i="1"/>
  <c r="S64" i="1"/>
  <c r="S28" i="1"/>
  <c r="S422" i="1"/>
  <c r="S282" i="1"/>
  <c r="S356" i="1"/>
  <c r="S256" i="1"/>
  <c r="S492" i="1"/>
  <c r="S300" i="1"/>
  <c r="S208" i="1"/>
  <c r="S255" i="1"/>
  <c r="S342" i="1"/>
  <c r="S373" i="1"/>
  <c r="S135" i="1"/>
  <c r="S124" i="1"/>
  <c r="S385" i="1"/>
  <c r="S155" i="1"/>
  <c r="S288" i="1"/>
  <c r="S242" i="1"/>
  <c r="S89" i="1"/>
  <c r="S386" i="1"/>
  <c r="S198" i="1"/>
  <c r="S106" i="1"/>
  <c r="S410" i="1"/>
  <c r="S299" i="1"/>
  <c r="S417" i="1"/>
  <c r="S426" i="1"/>
  <c r="S160" i="1"/>
  <c r="S414" i="1"/>
  <c r="S140" i="1"/>
  <c r="S228" i="1"/>
  <c r="S451" i="1"/>
  <c r="S357" i="1"/>
  <c r="S184" i="1"/>
  <c r="S460" i="1"/>
  <c r="S56" i="1"/>
  <c r="S311" i="1"/>
  <c r="S499" i="1"/>
  <c r="S82" i="1"/>
  <c r="S365" i="1"/>
  <c r="S4" i="1"/>
  <c r="S484" i="1"/>
  <c r="S408" i="1"/>
  <c r="S63" i="1"/>
  <c r="S495" i="1"/>
  <c r="S497" i="1"/>
  <c r="S222" i="1"/>
  <c r="S88" i="1"/>
  <c r="S353" i="1"/>
  <c r="S5" i="1"/>
  <c r="S331" i="1"/>
  <c r="S445" i="1"/>
  <c r="S230" i="1"/>
  <c r="S212" i="1"/>
  <c r="S55" i="1"/>
  <c r="S137" i="1"/>
  <c r="S207" i="1"/>
  <c r="S59" i="1"/>
  <c r="S66" i="1"/>
  <c r="S271" i="1"/>
  <c r="S17" i="1"/>
  <c r="S304" i="1"/>
  <c r="S488" i="1"/>
  <c r="S187" i="1"/>
  <c r="S36" i="1"/>
  <c r="S186" i="1"/>
  <c r="S141" i="1"/>
  <c r="S25" i="1"/>
  <c r="S350" i="1"/>
  <c r="S174" i="1"/>
  <c r="S216" i="1"/>
  <c r="S455" i="1"/>
  <c r="S38" i="1"/>
  <c r="S253" i="1"/>
  <c r="S367" i="1"/>
  <c r="S114" i="1"/>
  <c r="S239" i="1"/>
  <c r="S91" i="1"/>
  <c r="S375" i="1"/>
  <c r="S49" i="1"/>
  <c r="S349" i="1"/>
  <c r="S249" i="1"/>
  <c r="S164" i="1"/>
  <c r="S77" i="1"/>
  <c r="S427" i="1"/>
  <c r="S21" i="1"/>
  <c r="S65" i="1"/>
  <c r="S283" i="1"/>
  <c r="S57" i="1"/>
  <c r="S456" i="1"/>
  <c r="S223" i="1"/>
  <c r="S295" i="1"/>
  <c r="S478" i="1"/>
  <c r="S105" i="1"/>
  <c r="B388" i="1"/>
  <c r="B315" i="1"/>
  <c r="B169" i="1"/>
  <c r="B307" i="1"/>
  <c r="B338" i="1"/>
  <c r="B439" i="1"/>
  <c r="B284" i="1"/>
  <c r="B259" i="1"/>
  <c r="B109" i="1"/>
  <c r="B204" i="1"/>
  <c r="B244" i="1"/>
  <c r="B278" i="1"/>
  <c r="B372" i="1"/>
  <c r="B289" i="1"/>
  <c r="B61" i="1"/>
  <c r="B369" i="1"/>
  <c r="B103" i="1"/>
  <c r="B100" i="1"/>
  <c r="B67" i="1"/>
  <c r="B245" i="1"/>
  <c r="B90" i="1"/>
  <c r="B234" i="1"/>
  <c r="B48" i="1"/>
  <c r="B415" i="1"/>
  <c r="B41" i="1"/>
  <c r="B364" i="1"/>
  <c r="B76" i="1"/>
  <c r="B380" i="1"/>
  <c r="B80" i="1"/>
  <c r="B361" i="1"/>
  <c r="B81" i="1"/>
  <c r="B441" i="1"/>
  <c r="B293" i="1"/>
  <c r="B337" i="1"/>
  <c r="B347" i="1"/>
  <c r="B37" i="1"/>
  <c r="B95" i="1"/>
  <c r="B267" i="1"/>
  <c r="B146" i="1"/>
  <c r="B477" i="1"/>
  <c r="B60" i="1"/>
  <c r="B309" i="1"/>
  <c r="B319" i="1"/>
  <c r="B138" i="1"/>
  <c r="B3" i="1"/>
  <c r="B486" i="1"/>
  <c r="B73" i="1"/>
  <c r="B286" i="1"/>
  <c r="B58" i="1"/>
  <c r="B102" i="1"/>
  <c r="B197" i="1"/>
  <c r="B120" i="1"/>
  <c r="B450" i="1"/>
  <c r="B360" i="1"/>
  <c r="B177" i="1"/>
  <c r="B351" i="1"/>
  <c r="B151" i="1"/>
  <c r="B463" i="1"/>
  <c r="B457" i="1"/>
  <c r="B424" i="1"/>
  <c r="B379" i="1"/>
  <c r="B491" i="1"/>
  <c r="B193" i="1"/>
  <c r="B377" i="1"/>
  <c r="B446" i="1"/>
  <c r="B219" i="1"/>
  <c r="B257" i="1"/>
  <c r="B110" i="1"/>
  <c r="B78" i="1"/>
  <c r="B99" i="1"/>
  <c r="B44" i="1"/>
  <c r="B113" i="1"/>
  <c r="B209" i="1"/>
  <c r="B482" i="1"/>
  <c r="B42" i="1"/>
  <c r="B404" i="1"/>
  <c r="B12" i="1"/>
  <c r="B285" i="1"/>
  <c r="B252" i="1"/>
  <c r="B143" i="1"/>
  <c r="B34" i="1"/>
  <c r="B473" i="1"/>
  <c r="B273" i="1"/>
  <c r="B292" i="1"/>
  <c r="B14" i="1"/>
  <c r="B240" i="1"/>
  <c r="B440" i="1"/>
  <c r="B358" i="1"/>
  <c r="B8" i="1"/>
  <c r="B163" i="1"/>
  <c r="B435" i="1"/>
  <c r="B269" i="1"/>
  <c r="B324" i="1"/>
  <c r="B470" i="1"/>
  <c r="B229" i="1"/>
  <c r="B398" i="1"/>
  <c r="B339" i="1"/>
  <c r="B370" i="1"/>
  <c r="B332" i="1"/>
  <c r="B149" i="1"/>
  <c r="B165" i="1"/>
  <c r="B104" i="1"/>
  <c r="B27" i="1"/>
  <c r="B449" i="1"/>
  <c r="B268" i="1"/>
  <c r="B443" i="1"/>
  <c r="B466" i="1"/>
  <c r="B274" i="1"/>
  <c r="B50" i="1"/>
  <c r="B218" i="1"/>
  <c r="B127" i="1"/>
  <c r="B343" i="1"/>
  <c r="B154" i="1"/>
  <c r="B340" i="1"/>
  <c r="B133" i="1"/>
  <c r="B116" i="1"/>
  <c r="B54" i="1"/>
  <c r="B303" i="1"/>
  <c r="B485" i="1"/>
  <c r="B453" i="1"/>
  <c r="B378" i="1"/>
  <c r="B183" i="1"/>
  <c r="B276" i="1"/>
  <c r="B22" i="1"/>
  <c r="B179" i="1"/>
  <c r="B85" i="1"/>
  <c r="B294" i="1"/>
  <c r="B447" i="1"/>
  <c r="B7" i="1"/>
  <c r="B125" i="1"/>
  <c r="B26" i="1"/>
  <c r="B279" i="1"/>
  <c r="B201" i="1"/>
  <c r="B20" i="1"/>
  <c r="B401" i="1"/>
  <c r="B406" i="1"/>
  <c r="B136" i="1"/>
  <c r="B200" i="1"/>
  <c r="B119" i="1"/>
  <c r="B11" i="1"/>
  <c r="B199" i="1"/>
  <c r="B405" i="1"/>
  <c r="B472" i="1"/>
  <c r="B172" i="1"/>
  <c r="B442" i="1"/>
  <c r="B476" i="1"/>
  <c r="B175" i="1"/>
  <c r="B362" i="1"/>
  <c r="B221" i="1"/>
  <c r="B444" i="1"/>
  <c r="B434" i="1"/>
  <c r="B115" i="1"/>
  <c r="B465" i="1"/>
  <c r="B112" i="1"/>
  <c r="B461" i="1"/>
  <c r="B352" i="1"/>
  <c r="B40" i="1"/>
  <c r="B301" i="1"/>
  <c r="B108" i="1"/>
  <c r="B489" i="1"/>
  <c r="B310" i="1"/>
  <c r="B270" i="1"/>
  <c r="B168" i="1"/>
  <c r="B436" i="1"/>
  <c r="B407" i="1"/>
  <c r="B170" i="1"/>
  <c r="B196" i="1"/>
  <c r="B248" i="1"/>
  <c r="B232" i="1"/>
  <c r="B189" i="1"/>
  <c r="B176" i="1"/>
  <c r="B316" i="1"/>
  <c r="B131" i="1"/>
  <c r="B281" i="1"/>
  <c r="B9" i="1"/>
  <c r="B142" i="1"/>
  <c r="B437" i="1"/>
  <c r="B94" i="1"/>
  <c r="B366" i="1"/>
  <c r="B241" i="1"/>
  <c r="B395" i="1"/>
  <c r="B203" i="1"/>
  <c r="B192" i="1"/>
  <c r="B275" i="1"/>
  <c r="B321" i="1"/>
  <c r="B423" i="1"/>
  <c r="B454" i="1"/>
  <c r="B181" i="1"/>
  <c r="B419" i="1"/>
  <c r="B396" i="1"/>
  <c r="B397" i="1"/>
  <c r="B297" i="1"/>
  <c r="B467" i="1"/>
  <c r="B173" i="1"/>
  <c r="B157" i="1"/>
  <c r="B471" i="1"/>
  <c r="B250" i="1"/>
  <c r="B313" i="1"/>
  <c r="B84" i="1"/>
  <c r="B403" i="1"/>
  <c r="B490" i="1"/>
  <c r="B97" i="1"/>
  <c r="B235" i="1"/>
  <c r="B391" i="1"/>
  <c r="B429" i="1"/>
  <c r="B191" i="1"/>
  <c r="B185" i="1"/>
  <c r="B144" i="1"/>
  <c r="B448" i="1"/>
  <c r="B182" i="1"/>
  <c r="B210" i="1"/>
  <c r="B205" i="1"/>
  <c r="B171" i="1"/>
  <c r="B430" i="1"/>
  <c r="B298" i="1"/>
  <c r="B167" i="1"/>
  <c r="B280" i="1"/>
  <c r="B493" i="1"/>
  <c r="B329" i="1"/>
  <c r="B166" i="1"/>
  <c r="B458" i="1"/>
  <c r="B247" i="1"/>
  <c r="B180" i="1"/>
  <c r="B264" i="1"/>
  <c r="B70" i="1"/>
  <c r="B469" i="1"/>
  <c r="B96" i="1"/>
  <c r="B194" i="1"/>
  <c r="B452" i="1"/>
  <c r="B336" i="1"/>
  <c r="B428" i="1"/>
  <c r="B394" i="1"/>
  <c r="B328" i="1"/>
  <c r="B258" i="1"/>
  <c r="B117" i="1"/>
  <c r="B122" i="1"/>
  <c r="B69" i="1"/>
  <c r="B79" i="1"/>
  <c r="B420" i="1"/>
  <c r="B402" i="1"/>
  <c r="B421" i="1"/>
  <c r="B266" i="1"/>
  <c r="B211" i="1"/>
  <c r="B214" i="1"/>
  <c r="B425" i="1"/>
  <c r="B320" i="1"/>
  <c r="B152" i="1"/>
  <c r="B98" i="1"/>
  <c r="B156" i="1"/>
  <c r="B92" i="1"/>
  <c r="B29" i="1"/>
  <c r="B305" i="1"/>
  <c r="B178" i="1"/>
  <c r="B147" i="1"/>
  <c r="B129" i="1"/>
  <c r="B464" i="1"/>
  <c r="B387" i="1"/>
  <c r="B306" i="1"/>
  <c r="B217" i="1"/>
  <c r="B71" i="1"/>
  <c r="B43" i="1"/>
  <c r="B314" i="1"/>
  <c r="B322" i="1"/>
  <c r="B296" i="1"/>
  <c r="B75" i="1"/>
  <c r="B6" i="1"/>
  <c r="B432" i="1"/>
  <c r="B51" i="1"/>
  <c r="B260" i="1"/>
  <c r="B287" i="1"/>
  <c r="B132" i="1"/>
  <c r="B111" i="1"/>
  <c r="B355" i="1"/>
  <c r="B481" i="1"/>
  <c r="B334" i="1"/>
  <c r="B308" i="1"/>
  <c r="B254" i="1"/>
  <c r="B290" i="1"/>
  <c r="B161" i="1"/>
  <c r="B39" i="1"/>
  <c r="B341" i="1"/>
  <c r="B487" i="1"/>
  <c r="B15" i="1"/>
  <c r="B162" i="1"/>
  <c r="B19" i="1"/>
  <c r="B153" i="1"/>
  <c r="B101" i="1"/>
  <c r="B474" i="1"/>
  <c r="B416" i="1"/>
  <c r="B312" i="1"/>
  <c r="B400" i="1"/>
  <c r="B150" i="1"/>
  <c r="B251" i="1"/>
  <c r="B468" i="1"/>
  <c r="B265" i="1"/>
  <c r="B237" i="1"/>
  <c r="B139" i="1"/>
  <c r="B475" i="1"/>
  <c r="B148" i="1"/>
  <c r="B16" i="1"/>
  <c r="B262" i="1"/>
  <c r="B158" i="1"/>
  <c r="B31" i="1"/>
  <c r="B302" i="1"/>
  <c r="B93" i="1"/>
  <c r="B501" i="1"/>
  <c r="B348" i="1"/>
  <c r="B62" i="1"/>
  <c r="B412" i="1"/>
  <c r="B233" i="1"/>
  <c r="B411" i="1"/>
  <c r="B333" i="1"/>
  <c r="B33" i="1"/>
  <c r="B45" i="1"/>
  <c r="B18" i="1"/>
  <c r="B368" i="1"/>
  <c r="B359" i="1"/>
  <c r="B418" i="1"/>
  <c r="B236" i="1"/>
  <c r="B202" i="1"/>
  <c r="B83" i="1"/>
  <c r="B345" i="1"/>
  <c r="B2" i="1"/>
  <c r="B87" i="1"/>
  <c r="B130" i="1"/>
  <c r="B215" i="1"/>
  <c r="B35" i="1"/>
  <c r="B46" i="1"/>
  <c r="B32" i="1"/>
  <c r="B346" i="1"/>
  <c r="B243" i="1"/>
  <c r="B24" i="1"/>
  <c r="B195" i="1"/>
  <c r="B393" i="1"/>
  <c r="B330" i="1"/>
  <c r="B500" i="1"/>
  <c r="B433" i="1"/>
  <c r="B409" i="1"/>
  <c r="B118" i="1"/>
  <c r="B354" i="1"/>
  <c r="B384" i="1"/>
  <c r="B226" i="1"/>
  <c r="B238" i="1"/>
  <c r="B291" i="1"/>
  <c r="B128" i="1"/>
  <c r="B317" i="1"/>
  <c r="B13" i="1"/>
  <c r="B462" i="1"/>
  <c r="B220" i="1"/>
  <c r="B382" i="1"/>
  <c r="B227" i="1"/>
  <c r="B376" i="1"/>
  <c r="B389" i="1"/>
  <c r="B246" i="1"/>
  <c r="B392" i="1"/>
  <c r="B74" i="1"/>
  <c r="B438" i="1"/>
  <c r="B225" i="1"/>
  <c r="B159" i="1"/>
  <c r="B123" i="1"/>
  <c r="B224" i="1"/>
  <c r="B263" i="1"/>
  <c r="B383" i="1"/>
  <c r="B335" i="1"/>
  <c r="B10" i="1"/>
  <c r="B498" i="1"/>
  <c r="B53" i="1"/>
  <c r="B121" i="1"/>
  <c r="B86" i="1"/>
  <c r="B190" i="1"/>
  <c r="B483" i="1"/>
  <c r="B390" i="1"/>
  <c r="B47" i="1"/>
  <c r="B496" i="1"/>
  <c r="B325" i="1"/>
  <c r="B344" i="1"/>
  <c r="B431" i="1"/>
  <c r="B480" i="1"/>
  <c r="B479" i="1"/>
  <c r="B145" i="1"/>
  <c r="B261" i="1"/>
  <c r="B213" i="1"/>
  <c r="B318" i="1"/>
  <c r="B363" i="1"/>
  <c r="B374" i="1"/>
  <c r="B188" i="1"/>
  <c r="B206" i="1"/>
  <c r="B494" i="1"/>
  <c r="B277" i="1"/>
  <c r="B23" i="1"/>
  <c r="B327" i="1"/>
  <c r="B30" i="1"/>
  <c r="B231" i="1"/>
  <c r="B272" i="1"/>
  <c r="B399" i="1"/>
  <c r="B381" i="1"/>
  <c r="B323" i="1"/>
  <c r="B68" i="1"/>
  <c r="B134" i="1"/>
  <c r="B72" i="1"/>
  <c r="B126" i="1"/>
  <c r="B371" i="1"/>
  <c r="B459" i="1"/>
  <c r="B413" i="1"/>
  <c r="B107" i="1"/>
  <c r="B52" i="1"/>
  <c r="B64" i="1"/>
  <c r="B28" i="1"/>
  <c r="B422" i="1"/>
  <c r="B282" i="1"/>
  <c r="B356" i="1"/>
  <c r="B256" i="1"/>
  <c r="B492" i="1"/>
  <c r="B300" i="1"/>
  <c r="B208" i="1"/>
  <c r="B255" i="1"/>
  <c r="B342" i="1"/>
  <c r="B373" i="1"/>
  <c r="B135" i="1"/>
  <c r="B124" i="1"/>
  <c r="B385" i="1"/>
  <c r="B155" i="1"/>
  <c r="B288" i="1"/>
  <c r="B242" i="1"/>
  <c r="B89" i="1"/>
  <c r="B386" i="1"/>
  <c r="B198" i="1"/>
  <c r="B106" i="1"/>
  <c r="B410" i="1"/>
  <c r="B299" i="1"/>
  <c r="B417" i="1"/>
  <c r="B426" i="1"/>
  <c r="B160" i="1"/>
  <c r="B414" i="1"/>
  <c r="B140" i="1"/>
  <c r="B228" i="1"/>
  <c r="B451" i="1"/>
  <c r="B357" i="1"/>
  <c r="B184" i="1"/>
  <c r="B460" i="1"/>
  <c r="B56" i="1"/>
  <c r="B311" i="1"/>
  <c r="B499" i="1"/>
  <c r="B82" i="1"/>
  <c r="B365" i="1"/>
  <c r="B4" i="1"/>
  <c r="B484" i="1"/>
  <c r="B408" i="1"/>
  <c r="B63" i="1"/>
  <c r="B495" i="1"/>
  <c r="B497" i="1"/>
  <c r="B222" i="1"/>
  <c r="B88" i="1"/>
  <c r="B353" i="1"/>
  <c r="B5" i="1"/>
  <c r="B331" i="1"/>
  <c r="B445" i="1"/>
  <c r="B230" i="1"/>
  <c r="B212" i="1"/>
  <c r="B55" i="1"/>
  <c r="B137" i="1"/>
  <c r="B207" i="1"/>
  <c r="B59" i="1"/>
  <c r="B66" i="1"/>
  <c r="B271" i="1"/>
  <c r="B17" i="1"/>
  <c r="B304" i="1"/>
  <c r="B488" i="1"/>
  <c r="B187" i="1"/>
  <c r="B36" i="1"/>
  <c r="B186" i="1"/>
  <c r="B141" i="1"/>
  <c r="B25" i="1"/>
  <c r="B350" i="1"/>
  <c r="B174" i="1"/>
  <c r="B216" i="1"/>
  <c r="B455" i="1"/>
  <c r="B38" i="1"/>
  <c r="B253" i="1"/>
  <c r="B367" i="1"/>
  <c r="B114" i="1"/>
  <c r="B239" i="1"/>
  <c r="B91" i="1"/>
  <c r="B375" i="1"/>
  <c r="B49" i="1"/>
  <c r="B349" i="1"/>
  <c r="B249" i="1"/>
  <c r="B164" i="1"/>
  <c r="B77" i="1"/>
  <c r="B427" i="1"/>
  <c r="B21" i="1"/>
  <c r="B65" i="1"/>
  <c r="B283" i="1"/>
  <c r="B57" i="1"/>
  <c r="B456" i="1"/>
  <c r="B223" i="1"/>
  <c r="B295" i="1"/>
  <c r="B478" i="1"/>
  <c r="B105" i="1"/>
  <c r="B9" i="6"/>
  <c r="B12" i="6" l="1"/>
  <c r="B42" i="6"/>
  <c r="B51" i="14"/>
  <c r="B45" i="6"/>
  <c r="B18" i="6"/>
  <c r="D18" i="6"/>
  <c r="W282" i="1"/>
  <c r="B36" i="6" l="1"/>
  <c r="B30" i="6"/>
</calcChain>
</file>

<file path=xl/sharedStrings.xml><?xml version="1.0" encoding="utf-8"?>
<sst xmlns="http://schemas.openxmlformats.org/spreadsheetml/2006/main" count="2696" uniqueCount="142">
  <si>
    <t>ID_Registro</t>
  </si>
  <si>
    <t>Mineral</t>
  </si>
  <si>
    <t>Región</t>
  </si>
  <si>
    <t>Metodo_Extraccion</t>
  </si>
  <si>
    <t>Producción_Toneladas</t>
  </si>
  <si>
    <t>Consumo_Energia_MWh</t>
  </si>
  <si>
    <t>Emisiones_CO2_ton</t>
  </si>
  <si>
    <t>Cantidad_Empleados</t>
  </si>
  <si>
    <t>Dias_Operación_Mes</t>
  </si>
  <si>
    <t>Tecnología_Utilizada</t>
  </si>
  <si>
    <t>Riesgo_Ambiental</t>
  </si>
  <si>
    <t>Agua_Consumida_m3</t>
  </si>
  <si>
    <t>Zinc</t>
  </si>
  <si>
    <t>Centro</t>
  </si>
  <si>
    <t>Cielo Abierto</t>
  </si>
  <si>
    <t>Mixta</t>
  </si>
  <si>
    <t>Bajo</t>
  </si>
  <si>
    <t>Hierro</t>
  </si>
  <si>
    <t>Norte</t>
  </si>
  <si>
    <t>Subterranea</t>
  </si>
  <si>
    <t>Alto</t>
  </si>
  <si>
    <t>Plata</t>
  </si>
  <si>
    <t>Medio</t>
  </si>
  <si>
    <t>Sur</t>
  </si>
  <si>
    <t>Avanzada</t>
  </si>
  <si>
    <t>Oro</t>
  </si>
  <si>
    <t>Convencional</t>
  </si>
  <si>
    <t>Cobre</t>
  </si>
  <si>
    <t>FX = CONTAR.SI</t>
  </si>
  <si>
    <t>FX = CONTAR.SI.CONJUNTO</t>
  </si>
  <si>
    <t>FX= PROMEDIO.SI</t>
  </si>
  <si>
    <t>FX = MAX</t>
  </si>
  <si>
    <t>FX = MIN</t>
  </si>
  <si>
    <t>nombre</t>
  </si>
  <si>
    <t>Nombre</t>
  </si>
  <si>
    <t>Minera Romero</t>
  </si>
  <si>
    <t>Minera del Norte</t>
  </si>
  <si>
    <t>Minera Staff</t>
  </si>
  <si>
    <t>Costo_Operativo_CLP</t>
  </si>
  <si>
    <t>Costo_Mantenimiento_CLP</t>
  </si>
  <si>
    <t>Dias_Ingreso</t>
  </si>
  <si>
    <t>Mes_Ingreso</t>
  </si>
  <si>
    <t>Emisiones por empleado</t>
  </si>
  <si>
    <t>Fecha_ingreso</t>
  </si>
  <si>
    <t>Clasificación por eficiencia</t>
  </si>
  <si>
    <t>Recuperación_Metal_Porcentaje</t>
  </si>
  <si>
    <t>Costo_por_Dia</t>
  </si>
  <si>
    <t>Costo_Promedio_Por_Tonelada</t>
  </si>
  <si>
    <t>FX = PROMEDIO.SI</t>
  </si>
  <si>
    <t>FX  = PROMEDIO.SI</t>
  </si>
  <si>
    <t>1.-  ¿Cuántas minas producen más de 1,000 toneladas al mes?</t>
  </si>
  <si>
    <t>2.- ¿Cuántas minas están ubicadas en la región "Sur" y tienen un consumo de energía menor a 200,000 kWh?</t>
  </si>
  <si>
    <t>3.- ¿Cuántas minas presentan un riesgo ambiental alto?</t>
  </si>
  <si>
    <t>4.- ¿Cuál es el costo promedio por tonelada en operaciones de la región "Norte"?</t>
  </si>
  <si>
    <t>5.- ¿Cuál es el promedio de agua consumida en operaciones con método "Subterránea"?</t>
  </si>
  <si>
    <t>6.- ¿Cuál es la tasa de recuperación de metal más alta y más baja?</t>
  </si>
  <si>
    <t>7.-  ¿Cuántas operaciones subterráneas presentan riesgo ambiental alto?</t>
  </si>
  <si>
    <t>8.- ¿Cuál es el promedio de emisiones de CO2 en operaciones que usan tecnología avanzada?</t>
  </si>
  <si>
    <t>9.- ¿Cuál es el costo operativo promedio en operaciones con recuperación metálica mayor a 90%?</t>
  </si>
  <si>
    <t>10.- ¿Cuántas operaciones tienen una clasificación por eficiencia “Alta” y usan tecnología “Mixta”?</t>
  </si>
  <si>
    <t>11.- . ¿Cuántas minas con más de 50.000 m³ de agua consumida están en la región Sur?</t>
  </si>
  <si>
    <t>12.- . ¿Cuántas operaciones tienen eficiencia “Alta” y usan tecnología “Mixta”?</t>
  </si>
  <si>
    <t>13.- ¿Cuál es el costo operativo promedio en operaciones con recuperación metálica mayor a 90%?</t>
  </si>
  <si>
    <t>Clasificación Ambiental Energética</t>
  </si>
  <si>
    <t>¿Cuál es el consumo de energía de una minera específica?</t>
  </si>
  <si>
    <t xml:space="preserve"> ¿Cuál es el nombre de la minera que tiene el menor costo por tonelada?</t>
  </si>
  <si>
    <t>FX = INDICE - COINCIDIR</t>
  </si>
  <si>
    <t>Total general</t>
  </si>
  <si>
    <t>Cuenta de ID_Registro</t>
  </si>
  <si>
    <t>Suma de Producción_Toneladas</t>
  </si>
  <si>
    <t>Alta</t>
  </si>
  <si>
    <t>Baja</t>
  </si>
  <si>
    <t>Media</t>
  </si>
  <si>
    <t>noviembre</t>
  </si>
  <si>
    <t>julio</t>
  </si>
  <si>
    <t>marzo</t>
  </si>
  <si>
    <t>diciembre</t>
  </si>
  <si>
    <t>mayo</t>
  </si>
  <si>
    <t>enero</t>
  </si>
  <si>
    <t>agosto</t>
  </si>
  <si>
    <t>febrero</t>
  </si>
  <si>
    <t>septiembre</t>
  </si>
  <si>
    <t>octubre</t>
  </si>
  <si>
    <t>abril</t>
  </si>
  <si>
    <t>junio</t>
  </si>
  <si>
    <t>Promedio de Emisiones por empleado</t>
  </si>
  <si>
    <t>Promedio de Consumo_Energia_MWh</t>
  </si>
  <si>
    <t>Costo Promedio por Tonelada por Región</t>
  </si>
  <si>
    <t>Emisiones por Empleado según Tecnología</t>
  </si>
  <si>
    <t>Recuperación de Metal Promedio por Minera</t>
  </si>
  <si>
    <t xml:space="preserve">	Consumo Energético Promedio por Nivel de Eficiencia</t>
  </si>
  <si>
    <t>Distribución del Riesgo Ambiental por Región</t>
  </si>
  <si>
    <t>Producción Total por Mineral y Región</t>
  </si>
  <si>
    <t>NIVEL PROMEDIO DE COSTOS OPERACIONALES</t>
  </si>
  <si>
    <t>produccion total</t>
  </si>
  <si>
    <t>Promedio de recuperación de metal (%)</t>
  </si>
  <si>
    <t>Consumo energético total (MWh)</t>
  </si>
  <si>
    <t xml:space="preserve"> </t>
  </si>
  <si>
    <t>Consumo energetico  por mes</t>
  </si>
  <si>
    <t>Objetivo del Proyecto</t>
  </si>
  <si>
    <t>Regíon</t>
  </si>
  <si>
    <t>Promedio de Costo Tonelada</t>
  </si>
  <si>
    <t>Suma de Consumo Energia</t>
  </si>
  <si>
    <t>Mes</t>
  </si>
  <si>
    <t>Minera</t>
  </si>
  <si>
    <t>Promedio de Recuperación Metal Porcentaje</t>
  </si>
  <si>
    <t>Riesgo ambiental</t>
  </si>
  <si>
    <t>Tecnologia</t>
  </si>
  <si>
    <t xml:space="preserve">Clasificación </t>
  </si>
  <si>
    <t>Tecnología</t>
  </si>
  <si>
    <t>Metodo</t>
  </si>
  <si>
    <t>Promedio de Costo Operativo CLP</t>
  </si>
  <si>
    <t>1. ¿Cuál es la región más productiva?</t>
  </si>
  <si>
    <t>2. ¿Qué mineral tiene el mayor costo promedio por tonelada?</t>
  </si>
  <si>
    <t>3. ¿Qué nivel de eficiencia energética consume más energía?</t>
  </si>
  <si>
    <t>4. ¿Cómo varían las emisiones por empleado según la tecnología utilizada?</t>
  </si>
  <si>
    <t>5. ¿Cuál es el promedio de recuperación de metal por minera?</t>
  </si>
  <si>
    <r>
      <t>Producción total de minerales</t>
    </r>
    <r>
      <rPr>
        <sz val="11"/>
        <color theme="1"/>
        <rFont val="Calibri"/>
        <family val="2"/>
        <scheme val="minor"/>
      </rPr>
      <t>: $2.579.387</t>
    </r>
  </si>
  <si>
    <r>
      <t>Consumo energético total (MWh)</t>
    </r>
    <r>
      <rPr>
        <sz val="11"/>
        <color theme="1"/>
        <rFont val="Calibri"/>
        <family val="2"/>
        <scheme val="minor"/>
      </rPr>
      <t>: 995.841,24</t>
    </r>
  </si>
  <si>
    <r>
      <t>Promedio de recuperación de metal (%)</t>
    </r>
    <r>
      <rPr>
        <sz val="11"/>
        <color theme="1"/>
        <rFont val="Calibri"/>
        <family val="2"/>
        <scheme val="minor"/>
      </rPr>
      <t>: 84,08</t>
    </r>
  </si>
  <si>
    <r>
      <t>Costo promedio por tonelada por región</t>
    </r>
    <r>
      <rPr>
        <sz val="11"/>
        <color theme="1"/>
        <rFont val="Calibri"/>
        <family val="2"/>
        <scheme val="minor"/>
      </rPr>
      <t>: Destaca el costo más alto en la región Norte.</t>
    </r>
  </si>
  <si>
    <r>
      <t xml:space="preserve">La </t>
    </r>
    <r>
      <rPr>
        <b/>
        <sz val="11"/>
        <color theme="1"/>
        <rFont val="Calibri"/>
        <family val="2"/>
        <scheme val="minor"/>
      </rPr>
      <t>región Norte</t>
    </r>
    <r>
      <rPr>
        <sz val="11"/>
        <color theme="1"/>
        <rFont val="Calibri"/>
        <family val="2"/>
        <scheme val="minor"/>
      </rPr>
      <t xml:space="preserve"> lidera en producción, pero también presenta los costos promedio más altos.</t>
    </r>
  </si>
  <si>
    <r>
      <t xml:space="preserve">La tecnología </t>
    </r>
    <r>
      <rPr>
        <b/>
        <sz val="11"/>
        <color theme="1"/>
        <rFont val="Calibri"/>
        <family val="2"/>
        <scheme val="minor"/>
      </rPr>
      <t>Avanzada</t>
    </r>
    <r>
      <rPr>
        <sz val="11"/>
        <color theme="1"/>
        <rFont val="Calibri"/>
        <family val="2"/>
        <scheme val="minor"/>
      </rPr>
      <t xml:space="preserve"> presenta menor emisión por empleado comparada con la tecnología Mixta.</t>
    </r>
  </si>
  <si>
    <r>
      <t xml:space="preserve">El </t>
    </r>
    <r>
      <rPr>
        <b/>
        <sz val="11"/>
        <color theme="1"/>
        <rFont val="Calibri"/>
        <family val="2"/>
        <scheme val="minor"/>
      </rPr>
      <t>nivel de eficiencia Baja</t>
    </r>
    <r>
      <rPr>
        <sz val="11"/>
        <color theme="1"/>
        <rFont val="Calibri"/>
        <family val="2"/>
        <scheme val="minor"/>
      </rPr>
      <t xml:space="preserve"> está asociado al mayor consumo energético promedio.</t>
    </r>
  </si>
  <si>
    <r>
      <t>Minera Romero</t>
    </r>
    <r>
      <rPr>
        <sz val="11"/>
        <color theme="1"/>
        <rFont val="Calibri"/>
        <family val="2"/>
        <scheme val="minor"/>
      </rPr>
      <t xml:space="preserve"> destaca por su alto porcentaje de recuperación de metal.</t>
    </r>
  </si>
  <si>
    <r>
      <t xml:space="preserve">El mes con </t>
    </r>
    <r>
      <rPr>
        <b/>
        <sz val="11"/>
        <color theme="1"/>
        <rFont val="Calibri"/>
        <family val="2"/>
        <scheme val="minor"/>
      </rPr>
      <t>mayor consumo energético</t>
    </r>
    <r>
      <rPr>
        <sz val="11"/>
        <color theme="1"/>
        <rFont val="Calibri"/>
        <family val="2"/>
        <scheme val="minor"/>
      </rPr>
      <t xml:space="preserve"> fue julio, con más de 107.000 MWh.</t>
    </r>
  </si>
  <si>
    <r>
      <t xml:space="preserve">Funciones: </t>
    </r>
    <r>
      <rPr>
        <sz val="10"/>
        <color theme="1"/>
        <rFont val="Arial Unicode MS"/>
      </rPr>
      <t>SI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CONTAR.SI.CONJUNTO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BUSCARV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PROMEDIO.SI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INDICE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COINCIDIR</t>
    </r>
    <r>
      <rPr>
        <sz val="11"/>
        <color theme="1"/>
        <rFont val="Calibri"/>
        <family val="2"/>
        <scheme val="minor"/>
      </rPr>
      <t>.</t>
    </r>
  </si>
  <si>
    <t>Tablas dinámicas conectadas a segmentadores.</t>
  </si>
  <si>
    <t>Gráficos avanzados (barras apiladas, anillos, líneas).</t>
  </si>
  <si>
    <t>Segmentadores interactivos por Región, Mineral, Tecnología y Mes.</t>
  </si>
  <si>
    <t>Diseño profesional con formato consistente y visualmente atractivo.</t>
  </si>
  <si>
    <t>Preguntas de Análisis Formuladas</t>
  </si>
  <si>
    <t>Principales Indicadores Analizados</t>
  </si>
  <si>
    <t>Hallazgos Clave</t>
  </si>
  <si>
    <t>Herramientas y Técnicas Utilizadas</t>
  </si>
  <si>
    <t>Conclusión</t>
  </si>
  <si>
    <t xml:space="preserve">El objetivo de este proyecto fue realizar un análisis avanzado sobre una base de datos ficticia del sector minero, </t>
  </si>
  <si>
    <t xml:space="preserve">utilizando herramientas de Excel como funciones condicionales, tablas dinámicas y segmentadores. </t>
  </si>
  <si>
    <t>El foco estuvo en comprender el comportamiento de la producción, los costos, el consumo energético y las emisiones de las operaciones mineras.</t>
  </si>
  <si>
    <t>El análisis permitió identificar patrones clave y diferencias significativas entre regiones,</t>
  </si>
  <si>
    <t xml:space="preserve"> tecnologías y tipos de minerales. El dashboard desarrollado facilita la toma de decisiones estratégicas </t>
  </si>
  <si>
    <t>basadas en datos, permitiendo explorar de manera interactiva aspectos críticos de las operaciones mineras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</si>
</sst>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2" formatCode="_ &quot;$&quot;* #,##0_ ;_ &quot;$&quot;* \-#,##0_ ;_ &quot;$&quot;* &quot;-&quot;_ ;_ @_ "/>
    <numFmt numFmtId="164" formatCode="yyyy\-mm\-dd"/>
    <numFmt numFmtId="165" formatCode="_ [$$-340A]* #,##0_ ;_ [$$-340A]* \-#,##0_ ;_ [$$-340A]* &quot;-&quot;??_ ;_ @_ "/>
    <numFmt numFmtId="166" formatCode="[$-F800]dddd\,\ mmmm\ dd\,\ yyyy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2" fontId="3" fillId="0" borderId="0" applyFont="0" applyFill="0" applyBorder="0" applyAlignment="0" applyProtection="0"/>
  </cellStyleXfs>
  <cellXfs count="52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0" fillId="0" borderId="0" xfId="1" applyFont="1"/>
    <xf numFmtId="165" fontId="0" fillId="0" borderId="0" xfId="1" applyNumberFormat="1" applyFont="1"/>
    <xf numFmtId="42" fontId="0" fillId="0" borderId="0" xfId="0" applyNumberFormat="1"/>
    <xf numFmtId="165" fontId="0" fillId="0" borderId="0" xfId="0" applyNumberFormat="1"/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4" fontId="0" fillId="0" borderId="0" xfId="0" applyNumberFormat="1"/>
    <xf numFmtId="0" fontId="6" fillId="0" borderId="0" xfId="0" applyFont="1"/>
    <xf numFmtId="0" fontId="0" fillId="3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2" fontId="0" fillId="0" borderId="9" xfId="1" applyFont="1" applyBorder="1" applyAlignment="1">
      <alignment horizontal="center"/>
    </xf>
    <xf numFmtId="0" fontId="0" fillId="4" borderId="0" xfId="0" applyFill="1"/>
    <xf numFmtId="166" fontId="0" fillId="0" borderId="0" xfId="0" applyNumberFormat="1"/>
    <xf numFmtId="42" fontId="0" fillId="0" borderId="12" xfId="1" applyFont="1" applyBorder="1"/>
    <xf numFmtId="4" fontId="0" fillId="0" borderId="12" xfId="0" applyNumberFormat="1" applyBorder="1"/>
    <xf numFmtId="42" fontId="0" fillId="0" borderId="12" xfId="0" applyNumberFormat="1" applyBorder="1"/>
    <xf numFmtId="0" fontId="0" fillId="5" borderId="0" xfId="0" applyFill="1"/>
    <xf numFmtId="0" fontId="0" fillId="5" borderId="11" xfId="0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8" fillId="6" borderId="0" xfId="0" applyFont="1" applyFill="1" applyAlignment="1">
      <alignment horizontal="center" vertical="center"/>
    </xf>
  </cellXfs>
  <cellStyles count="2">
    <cellStyle name="Moneda [0]" xfId="1" builtinId="7"/>
    <cellStyle name="Normal" xfId="0" builtinId="0"/>
  </cellStyles>
  <dxfs count="37">
    <dxf>
      <numFmt numFmtId="4" formatCode="#,##0.00"/>
    </dxf>
    <dxf>
      <numFmt numFmtId="2" formatCode="0.00"/>
    </dxf>
    <dxf>
      <numFmt numFmtId="4" formatCode="#,##0.0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32" formatCode="_ &quot;$&quot;* #,##0_ ;_ &quot;$&quot;* \-#,##0_ ;_ &quot;$&quot;* &quot;-&quot;_ ;_ @_ "/>
    </dxf>
    <dxf>
      <numFmt numFmtId="165" formatCode="_ [$$-340A]* #,##0_ ;_ [$$-340A]* \-#,##0_ ;_ [$$-340A]* &quot;-&quot;??_ ;_ 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 [$$-340A]* #,##0_ ;_ [$$-340A]* \-#,##0_ ;_ [$$-340A]* &quot;-&quot;??_ ;_ @_ 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4" formatCode="#,##0.00"/>
    </dxf>
    <dxf>
      <numFmt numFmtId="4" formatCode="#,##0.00"/>
    </dxf>
    <dxf>
      <font>
        <color theme="8"/>
      </font>
    </dxf>
  </dxfs>
  <tableStyles count="1" defaultTableStyle="TableStyleMedium9" defaultPivotStyle="PivotStyleLight16">
    <tableStyle name="Estilo de segmentación de datos 1" pivot="0" table="0" count="1" xr9:uid="{2B95249E-0E33-4DE2-BEEB-8280C1A0C5C2}">
      <tableStyleElement type="headerRow" dxfId="36"/>
    </tableStyle>
  </tableStyles>
  <colors>
    <mruColors>
      <color rgb="FF0D6107"/>
    </mruColors>
  </colors>
  <extLst>
    <ext xmlns:x14="http://schemas.microsoft.com/office/spreadsheetml/2009/9/main" uri="{EB79DEF2-80B8-43e5-95BD-54CBDDF9020C}">
      <x14:slicerStyles defaultSlicerStyle="SlicerStyleLight1">
        <x14:slicerStyle name="Estilo de segmentación de datos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[ProyectoParcial_TorresReyes (1).xlsx]TDINAMICA!TD_Tecnologia_emisiones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Emisiones por Empleado según Tecnología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dk1">
              <a:tint val="885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TDINAMICA!$B$42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9F-4EAA-8C98-D0C4DFD23E7A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9F-4EAA-8C98-D0C4DFD23E7A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29F-4EAA-8C98-D0C4DFD23E7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TDINAMICA!$A$43:$A$46</c:f>
              <c:strCache>
                <c:ptCount val="3"/>
                <c:pt idx="0">
                  <c:v>Avanzada</c:v>
                </c:pt>
                <c:pt idx="1">
                  <c:v>Convencional</c:v>
                </c:pt>
                <c:pt idx="2">
                  <c:v>Mixta</c:v>
                </c:pt>
              </c:strCache>
            </c:strRef>
          </c:cat>
          <c:val>
            <c:numRef>
              <c:f>TDINAMICA!$B$43:$B$46</c:f>
              <c:numCache>
                <c:formatCode>#,##0.00</c:formatCode>
                <c:ptCount val="3"/>
                <c:pt idx="0">
                  <c:v>7.1428041898476931</c:v>
                </c:pt>
                <c:pt idx="1">
                  <c:v>7.3609343506092966</c:v>
                </c:pt>
                <c:pt idx="2">
                  <c:v>6.525581139216432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29F-4EAA-8C98-D0C4DFD23E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[ProyectoParcial_TorresReyes (1).xlsx]TDINAMICA!Td_Mes_Consumo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rgbClr val="002060"/>
                </a:solidFill>
              </a:rPr>
              <a:t>Consumo energetico  por mes.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t" anchorCtr="0">
              <a:spAutoFit/>
            </a:bodyPr>
            <a:lstStyle/>
            <a:p>
              <a:pPr algn="ctr"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TDINAMICA!$E$10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spAutoFit/>
              </a:bodyPr>
              <a:lstStyle/>
              <a:p>
                <a:pPr algn="ctr"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TDINAMICA!$D$11:$D$23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TDINAMICA!$E$11:$E$23</c:f>
              <c:numCache>
                <c:formatCode>#,##0.00</c:formatCode>
                <c:ptCount val="12"/>
                <c:pt idx="0">
                  <c:v>86283.310000000012</c:v>
                </c:pt>
                <c:pt idx="1">
                  <c:v>86895.709999999977</c:v>
                </c:pt>
                <c:pt idx="2">
                  <c:v>74431.009999999995</c:v>
                </c:pt>
                <c:pt idx="3">
                  <c:v>77235.87</c:v>
                </c:pt>
                <c:pt idx="4">
                  <c:v>107494.89000000001</c:v>
                </c:pt>
                <c:pt idx="5">
                  <c:v>72422.06</c:v>
                </c:pt>
                <c:pt idx="6">
                  <c:v>83619.290000000008</c:v>
                </c:pt>
                <c:pt idx="7">
                  <c:v>78279.009999999966</c:v>
                </c:pt>
                <c:pt idx="8">
                  <c:v>70922.63</c:v>
                </c:pt>
                <c:pt idx="9">
                  <c:v>94115.249999999985</c:v>
                </c:pt>
                <c:pt idx="10">
                  <c:v>83486.52</c:v>
                </c:pt>
                <c:pt idx="11">
                  <c:v>80655.689999999959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0-4772-8A1D-564346A63BA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762160752"/>
        <c:axId val="1762163152"/>
      </c:barChart>
      <c:catAx>
        <c:axId val="176216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62163152"/>
        <c:crosses val="autoZero"/>
        <c:auto val="1"/>
        <c:lblAlgn val="ctr"/>
        <c:lblOffset val="100"/>
        <c:noMultiLvlLbl val="0"/>
      </c:catAx>
      <c:valAx>
        <c:axId val="1762163152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17621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[ProyectoParcial_TorresReyes (1).xlsx]TDINAMICA!Td_Clasificacion_Tecnologia</c:name>
    <c:fmtId val="3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rgbClr val="002060"/>
                </a:solidFill>
              </a:rPr>
              <a:t>Consumo Energético Promedio por Nivel de Eficiencia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00206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00B0F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TDINAMICA!$B$33:$B$34</c:f>
              <c:strCache>
                <c:ptCount val="1"/>
                <c:pt idx="0">
                  <c:v>Avanzada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65000"/>
                </a:schemeClr>
              </a:solidFill>
              <a:ln w="9525">
                <a:solidFill>
                  <a:schemeClr val="accent1">
                    <a:tint val="65000"/>
                  </a:schemeClr>
                </a:solidFill>
              </a:ln>
              <a:effectLst/>
            </c:spPr>
          </c:marker>
          <c:cat>
            <c:strRef>
              <c:f>TDINAMICA!$A$35:$A$38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TDINAMICA!$B$35:$B$38</c:f>
              <c:numCache>
                <c:formatCode>#,##0.00</c:formatCode>
                <c:ptCount val="3"/>
                <c:pt idx="0">
                  <c:v>1899.7372727272725</c:v>
                </c:pt>
                <c:pt idx="1">
                  <c:v>2139.1036363636363</c:v>
                </c:pt>
                <c:pt idx="2">
                  <c:v>2026.3223595505608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EA-4081-BEE3-9A63DFF82C93}"/>
            </c:ext>
          </c:extLst>
        </c:ser>
        <c:ser>
          <c:idx val="1"/>
          <c:order val="1"/>
          <c:tx>
            <c:strRef>
              <c:f>TDINAMICA!$C$33:$C$34</c:f>
              <c:strCache>
                <c:ptCount val="1"/>
                <c:pt idx="0">
                  <c:v>Convencional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TDINAMICA!$A$35:$A$38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TDINAMICA!$C$35:$C$38</c:f>
              <c:numCache>
                <c:formatCode>#,##0.00</c:formatCode>
                <c:ptCount val="3"/>
                <c:pt idx="0">
                  <c:v>1960.5294117647056</c:v>
                </c:pt>
                <c:pt idx="1">
                  <c:v>1985.8465624999999</c:v>
                </c:pt>
                <c:pt idx="2">
                  <c:v>1968.6160975609748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2EA-4081-BEE3-9A63DFF82C93}"/>
            </c:ext>
          </c:extLst>
        </c:ser>
        <c:ser>
          <c:idx val="2"/>
          <c:order val="2"/>
          <c:tx>
            <c:strRef>
              <c:f>TDINAMICA!$D$33:$D$34</c:f>
              <c:strCache>
                <c:ptCount val="1"/>
                <c:pt idx="0">
                  <c:v>Mixta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65000"/>
                </a:schemeClr>
              </a:solidFill>
              <a:ln w="9525">
                <a:solidFill>
                  <a:schemeClr val="accent1">
                    <a:shade val="65000"/>
                  </a:schemeClr>
                </a:solidFill>
              </a:ln>
              <a:effectLst/>
            </c:spPr>
          </c:marker>
          <c:cat>
            <c:strRef>
              <c:f>TDINAMICA!$A$35:$A$38</c:f>
              <c:strCache>
                <c:ptCount val="3"/>
                <c:pt idx="0">
                  <c:v>Alta</c:v>
                </c:pt>
                <c:pt idx="1">
                  <c:v>Baja</c:v>
                </c:pt>
                <c:pt idx="2">
                  <c:v>Media</c:v>
                </c:pt>
              </c:strCache>
            </c:strRef>
          </c:cat>
          <c:val>
            <c:numRef>
              <c:f>TDINAMICA!$D$35:$D$38</c:f>
              <c:numCache>
                <c:formatCode>#,##0.00</c:formatCode>
                <c:ptCount val="3"/>
                <c:pt idx="0">
                  <c:v>1989.6705660377363</c:v>
                </c:pt>
                <c:pt idx="1">
                  <c:v>1946.1934375000001</c:v>
                </c:pt>
                <c:pt idx="2">
                  <c:v>2007.4803571428577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2EA-4081-BEE3-9A63DFF82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1407231"/>
        <c:axId val="1871398111"/>
      </c:lineChart>
      <c:catAx>
        <c:axId val="187140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1398111"/>
        <c:crosses val="autoZero"/>
        <c:auto val="1"/>
        <c:lblAlgn val="ctr"/>
        <c:lblOffset val="100"/>
        <c:noMultiLvlLbl val="0"/>
      </c:catAx>
      <c:valAx>
        <c:axId val="187139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1407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lt1"/>
      </a:solidFill>
      <a:round/>
    </a:ln>
    <a:effectLst>
      <a:outerShdw blurRad="50800" dist="38100" algn="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[ProyectoParcial_TorresReyes (1).xlsx]TDINAMICA!Td_Tonelada_Region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>
                <a:solidFill>
                  <a:srgbClr val="002060"/>
                </a:solidFill>
              </a:rPr>
              <a:t>COSTO PROMEDIO</a:t>
            </a:r>
            <a:r>
              <a:rPr lang="es-CL" baseline="0">
                <a:solidFill>
                  <a:srgbClr val="002060"/>
                </a:solidFill>
              </a:rPr>
              <a:t> POR TONELADA POR REGION</a:t>
            </a:r>
            <a:endParaRPr lang="es-CL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TDINAMICA!$B$10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E6-45DC-8ABB-30C19CECAF2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E6-45DC-8ABB-30C19CECAF2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E6-45DC-8ABB-30C19CECAF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TDINAMICA!$A$11:$A$14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TDINAMICA!$B$11:$B$14</c:f>
              <c:numCache>
                <c:formatCode>_("$"* #,##0_);_("$"* \(#,##0\);_("$"* "-"_);_(@_)</c:formatCode>
                <c:ptCount val="3"/>
                <c:pt idx="0">
                  <c:v>27918258.338227645</c:v>
                </c:pt>
                <c:pt idx="1">
                  <c:v>39599309.164200172</c:v>
                </c:pt>
                <c:pt idx="2">
                  <c:v>41431166.336501539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E6-45DC-8ABB-30C19CECA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97855344"/>
        <c:axId val="1697850544"/>
      </c:barChart>
      <c:catAx>
        <c:axId val="169785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7850544"/>
        <c:crosses val="autoZero"/>
        <c:auto val="1"/>
        <c:lblAlgn val="ctr"/>
        <c:lblOffset val="100"/>
        <c:noMultiLvlLbl val="0"/>
      </c:catAx>
      <c:valAx>
        <c:axId val="169785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978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[ProyectoParcial_TorresReyes (1).xlsx]TDINAMICA!Td_Mineria_Region</c:name>
    <c:fmtId val="7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Producción Total por Mineral y Región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6774931713748"/>
          <c:y val="0.25790441176470591"/>
          <c:w val="0.63632126973654246"/>
          <c:h val="0.630586594874170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TDINAMICA!$B$2:$B$3</c:f>
              <c:strCache>
                <c:ptCount val="1"/>
                <c:pt idx="0">
                  <c:v>Cobre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TDINAMICA!$A$4:$A$7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TDINAMICA!$B$4:$B$7</c:f>
              <c:numCache>
                <c:formatCode>#,##0.00</c:formatCode>
                <c:ptCount val="3"/>
                <c:pt idx="0">
                  <c:v>183426.52000000005</c:v>
                </c:pt>
                <c:pt idx="1">
                  <c:v>197263.08999999997</c:v>
                </c:pt>
                <c:pt idx="2">
                  <c:v>193650.51999999996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0F-44B4-8006-DCB9B6C311DD}"/>
            </c:ext>
          </c:extLst>
        </c:ser>
        <c:ser>
          <c:idx val="1"/>
          <c:order val="1"/>
          <c:tx>
            <c:strRef>
              <c:f>TDINAMICA!$C$2:$C$3</c:f>
              <c:strCache>
                <c:ptCount val="1"/>
                <c:pt idx="0">
                  <c:v>Hierro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TDINAMICA!$A$4:$A$7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TDINAMICA!$C$4:$C$7</c:f>
              <c:numCache>
                <c:formatCode>#,##0.00</c:formatCode>
                <c:ptCount val="3"/>
                <c:pt idx="0">
                  <c:v>187688.98999999996</c:v>
                </c:pt>
                <c:pt idx="1">
                  <c:v>153503.65000000002</c:v>
                </c:pt>
                <c:pt idx="2">
                  <c:v>127977.11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0F-44B4-8006-DCB9B6C311DD}"/>
            </c:ext>
          </c:extLst>
        </c:ser>
        <c:ser>
          <c:idx val="2"/>
          <c:order val="2"/>
          <c:tx>
            <c:strRef>
              <c:f>TDINAMICA!$D$2:$D$3</c:f>
              <c:strCache>
                <c:ptCount val="1"/>
                <c:pt idx="0">
                  <c:v>Oro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TDINAMICA!$A$4:$A$7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TDINAMICA!$D$4:$D$7</c:f>
              <c:numCache>
                <c:formatCode>#,##0.00</c:formatCode>
                <c:ptCount val="3"/>
                <c:pt idx="0">
                  <c:v>173451.38</c:v>
                </c:pt>
                <c:pt idx="1">
                  <c:v>181460.42</c:v>
                </c:pt>
                <c:pt idx="2">
                  <c:v>124018.59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0F-44B4-8006-DCB9B6C311DD}"/>
            </c:ext>
          </c:extLst>
        </c:ser>
        <c:ser>
          <c:idx val="3"/>
          <c:order val="3"/>
          <c:tx>
            <c:strRef>
              <c:f>TDINAMICA!$E$2:$E$3</c:f>
              <c:strCache>
                <c:ptCount val="1"/>
                <c:pt idx="0">
                  <c:v>Plata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</c:spPr>
          <c:invertIfNegative val="0"/>
          <c:cat>
            <c:strRef>
              <c:f>TDINAMICA!$A$4:$A$7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TDINAMICA!$E$4:$E$7</c:f>
              <c:numCache>
                <c:formatCode>#,##0.00</c:formatCode>
                <c:ptCount val="3"/>
                <c:pt idx="0">
                  <c:v>137800.32000000001</c:v>
                </c:pt>
                <c:pt idx="1">
                  <c:v>170653.68000000002</c:v>
                </c:pt>
                <c:pt idx="2">
                  <c:v>169731.46000000002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0F-44B4-8006-DCB9B6C311DD}"/>
            </c:ext>
          </c:extLst>
        </c:ser>
        <c:ser>
          <c:idx val="4"/>
          <c:order val="4"/>
          <c:tx>
            <c:strRef>
              <c:f>TDINAMICA!$F$2:$F$3</c:f>
              <c:strCache>
                <c:ptCount val="1"/>
                <c:pt idx="0">
                  <c:v>Zinc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TDINAMICA!$A$4:$A$7</c:f>
              <c:strCache>
                <c:ptCount val="3"/>
                <c:pt idx="0">
                  <c:v>Centro</c:v>
                </c:pt>
                <c:pt idx="1">
                  <c:v>Norte</c:v>
                </c:pt>
                <c:pt idx="2">
                  <c:v>Sur</c:v>
                </c:pt>
              </c:strCache>
            </c:strRef>
          </c:cat>
          <c:val>
            <c:numRef>
              <c:f>TDINAMICA!$F$4:$F$7</c:f>
              <c:numCache>
                <c:formatCode>#,##0.00</c:formatCode>
                <c:ptCount val="3"/>
                <c:pt idx="0">
                  <c:v>163769.49999999997</c:v>
                </c:pt>
                <c:pt idx="1">
                  <c:v>214100.41000000009</c:v>
                </c:pt>
                <c:pt idx="2">
                  <c:v>200891.04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0F-44B4-8006-DCB9B6C311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4345311"/>
        <c:axId val="1704351551"/>
      </c:barChart>
      <c:catAx>
        <c:axId val="170434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4351551"/>
        <c:crosses val="autoZero"/>
        <c:auto val="1"/>
        <c:lblAlgn val="ctr"/>
        <c:lblOffset val="100"/>
        <c:noMultiLvlLbl val="0"/>
      </c:catAx>
      <c:valAx>
        <c:axId val="17043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7043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[ProyectoParcial_TorresReyes (1).xlsx]TDINAMICA!Td_Recuperacion_Minera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Recuperación de Metal Promedio por Minera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>
            <a:noFill/>
          </a:ln>
          <a:effectLst/>
        </c:spPr>
      </c:pivotFmt>
      <c:pivotFmt>
        <c:idx val="6"/>
        <c:spPr>
          <a:solidFill>
            <a:srgbClr val="002060"/>
          </a:solidFill>
          <a:ln>
            <a:noFill/>
          </a:ln>
          <a:effectLst/>
        </c:spPr>
      </c:pivotFmt>
      <c:pivotFmt>
        <c:idx val="7"/>
        <c:spPr>
          <a:solidFill>
            <a:srgbClr val="00206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TDINAMICA!$B$17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86-443B-BC84-0A9D290048C7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E86-443B-BC84-0A9D290048C7}"/>
              </c:ext>
            </c:extLst>
          </c:dPt>
          <c:dPt>
            <c:idx val="2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86-443B-BC84-0A9D290048C7}"/>
              </c:ext>
            </c:extLst>
          </c:dPt>
          <c:cat>
            <c:strRef>
              <c:f>TDINAMICA!$A$18:$A$21</c:f>
              <c:strCache>
                <c:ptCount val="3"/>
                <c:pt idx="0">
                  <c:v>Minera del Norte</c:v>
                </c:pt>
                <c:pt idx="1">
                  <c:v>Minera Romero</c:v>
                </c:pt>
                <c:pt idx="2">
                  <c:v>Minera Staff</c:v>
                </c:pt>
              </c:strCache>
            </c:strRef>
          </c:cat>
          <c:val>
            <c:numRef>
              <c:f>TDINAMICA!$B$18:$B$21</c:f>
              <c:numCache>
                <c:formatCode>General</c:formatCode>
                <c:ptCount val="3"/>
                <c:pt idx="0">
                  <c:v>83.688228571428553</c:v>
                </c:pt>
                <c:pt idx="1">
                  <c:v>84.322893081760995</c:v>
                </c:pt>
                <c:pt idx="2">
                  <c:v>84.268674698795166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6-443B-BC84-0A9D29004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336191"/>
        <c:axId val="1871338591"/>
      </c:barChart>
      <c:catAx>
        <c:axId val="187133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1338591"/>
        <c:crosses val="autoZero"/>
        <c:auto val="1"/>
        <c:lblAlgn val="ctr"/>
        <c:lblOffset val="100"/>
        <c:noMultiLvlLbl val="0"/>
      </c:catAx>
      <c:valAx>
        <c:axId val="187133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87133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8100000" algn="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335280</xdr:colOff>
      <xdr:row>7</xdr:row>
      <xdr:rowOff>152400</xdr:rowOff>
    </xdr:from>
    <xdr:to>
      <xdr:col>9</xdr:col>
      <xdr:colOff>670560</xdr:colOff>
      <xdr:row>18</xdr:row>
      <xdr:rowOff>121920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48672ED0-CDC0-400C-A50B-91C123298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0</xdr:row>
      <xdr:rowOff>22860</xdr:rowOff>
    </xdr:from>
    <xdr:to>
      <xdr:col>13</xdr:col>
      <xdr:colOff>129540</xdr:colOff>
      <xdr:row>6</xdr:row>
      <xdr:rowOff>129540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9E44F68E-BF7E-A57B-BD31-EF5E5A4647F7}"/>
            </a:ext>
          </a:extLst>
        </xdr:cNvPr>
        <xdr:cNvSpPr/>
      </xdr:nvSpPr>
      <xdr:spPr>
        <a:xfrm>
          <a:off x="2377440" y="22860"/>
          <a:ext cx="8054340" cy="1203960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25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Dashboard de Operaciones Mineras 2025</a:t>
          </a:r>
          <a:br>
            <a:rPr lang="es-CL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r>
            <a:rPr lang="es-CL" sz="1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Análisis de datos clave sobre producción, costos y emisiones</a:t>
          </a:r>
          <a:endParaRPr lang="es-CL">
            <a:effectLst/>
          </a:endParaRPr>
        </a:p>
      </xdr:txBody>
    </xdr:sp>
    <xdr:clientData/>
  </xdr:twoCellAnchor>
  <xdr:twoCellAnchor editAs="oneCell">
    <xdr:from>
      <xdr:col>3</xdr:col>
      <xdr:colOff>327661</xdr:colOff>
      <xdr:row>0</xdr:row>
      <xdr:rowOff>1</xdr:rowOff>
    </xdr:from>
    <xdr:to>
      <xdr:col>4</xdr:col>
      <xdr:colOff>480061</xdr:colOff>
      <xdr:row>5</xdr:row>
      <xdr:rowOff>30481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7E32E55-F466-470E-7C5D-D0B43264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1" y="1"/>
          <a:ext cx="944880" cy="944880"/>
        </a:xfrm>
        <a:prstGeom prst="rect">
          <a:avLst/>
        </a:prstGeom>
      </xdr:spPr>
    </xdr:pic>
    <xdr:clientData/>
  </xdr:twoCellAnchor>
  <xdr:twoCellAnchor>
    <xdr:from>
      <xdr:col>4</xdr:col>
      <xdr:colOff>91440</xdr:colOff>
      <xdr:row>5</xdr:row>
      <xdr:rowOff>60960</xdr:rowOff>
    </xdr:from>
    <xdr:to>
      <xdr:col>6</xdr:col>
      <xdr:colOff>594480</xdr:colOff>
      <xdr:row>8</xdr:row>
      <xdr:rowOff>92640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EE526FB0-984A-4C82-836C-DBD6FEBCCE47}"/>
            </a:ext>
          </a:extLst>
        </xdr:cNvPr>
        <xdr:cNvGrpSpPr/>
      </xdr:nvGrpSpPr>
      <xdr:grpSpPr>
        <a:xfrm>
          <a:off x="3267777" y="983381"/>
          <a:ext cx="2091208" cy="585133"/>
          <a:chOff x="4850872" y="5080522"/>
          <a:chExt cx="2185325" cy="593188"/>
        </a:xfrm>
        <a:solidFill>
          <a:schemeClr val="bg2"/>
        </a:solidFill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">
        <xdr:nvSpPr>
          <xdr:cNvPr id="9" name="Rectángulo: esquinas redondeadas 8">
            <a:extLst>
              <a:ext uri="{FF2B5EF4-FFF2-40B4-BE49-F238E27FC236}">
                <a16:creationId xmlns:a16="http://schemas.microsoft.com/office/drawing/2014/main" id="{49347E76-7B06-08BF-79C4-519016F38645}"/>
              </a:ext>
            </a:extLst>
          </xdr:cNvPr>
          <xdr:cNvSpPr/>
        </xdr:nvSpPr>
        <xdr:spPr>
          <a:xfrm>
            <a:off x="4850872" y="5080522"/>
            <a:ext cx="2185325" cy="593188"/>
          </a:xfrm>
          <a:prstGeom prst="roundRect">
            <a:avLst/>
          </a:prstGeom>
          <a:grpFill/>
          <a:ln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s-CL" sz="900">
                <a:solidFill>
                  <a:schemeClr val="tx1"/>
                </a:solidFill>
              </a:rPr>
              <a:t>Consumo energético total (MWh)</a:t>
            </a:r>
            <a:endParaRPr lang="en-US" sz="900" b="0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  <xdr:sp macro="" textlink="TDINAMICA!D54">
        <xdr:nvSpPr>
          <xdr:cNvPr id="10" name="Rectángulo: esquinas redondeadas 9">
            <a:extLst>
              <a:ext uri="{FF2B5EF4-FFF2-40B4-BE49-F238E27FC236}">
                <a16:creationId xmlns:a16="http://schemas.microsoft.com/office/drawing/2014/main" id="{42DC63F6-4ABD-4D11-68B5-A6CBD424D5F6}"/>
              </a:ext>
            </a:extLst>
          </xdr:cNvPr>
          <xdr:cNvSpPr/>
        </xdr:nvSpPr>
        <xdr:spPr>
          <a:xfrm>
            <a:off x="5228557" y="5166128"/>
            <a:ext cx="1374868" cy="288789"/>
          </a:xfrm>
          <a:prstGeom prst="round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B8FE067-844E-4106-9866-CF526D758283}" type="TxLink">
              <a:rPr lang="en-US" sz="1600" b="0" i="0" u="none" strike="noStrike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Calibri"/>
                <a:cs typeface="Calibri"/>
              </a:rPr>
              <a:pPr algn="ctr"/>
              <a:t>995.841,24</a:t>
            </a:fld>
            <a:endParaRPr lang="es-CL" sz="1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endParaRPr>
          </a:p>
        </xdr:txBody>
      </xdr:sp>
    </xdr:grpSp>
    <xdr:clientData/>
  </xdr:twoCellAnchor>
  <xdr:twoCellAnchor>
    <xdr:from>
      <xdr:col>6</xdr:col>
      <xdr:colOff>647700</xdr:colOff>
      <xdr:row>5</xdr:row>
      <xdr:rowOff>60960</xdr:rowOff>
    </xdr:from>
    <xdr:to>
      <xdr:col>9</xdr:col>
      <xdr:colOff>358260</xdr:colOff>
      <xdr:row>8</xdr:row>
      <xdr:rowOff>88320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750C9FA-277B-78D7-485C-4568D56B3D13}"/>
            </a:ext>
          </a:extLst>
        </xdr:cNvPr>
        <xdr:cNvSpPr/>
      </xdr:nvSpPr>
      <xdr:spPr>
        <a:xfrm>
          <a:off x="5402580" y="975360"/>
          <a:ext cx="2088000" cy="576000"/>
        </a:xfrm>
        <a:prstGeom prst="roundRect">
          <a:avLst/>
        </a:prstGeom>
        <a:solidFill>
          <a:schemeClr val="bg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s-CL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Producción total de minerales</a:t>
          </a:r>
          <a:endParaRPr lang="es-CL" sz="6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175261</xdr:colOff>
      <xdr:row>5</xdr:row>
      <xdr:rowOff>137160</xdr:rowOff>
    </xdr:from>
    <xdr:to>
      <xdr:col>8</xdr:col>
      <xdr:colOff>571500</xdr:colOff>
      <xdr:row>7</xdr:row>
      <xdr:rowOff>53924</xdr:rowOff>
    </xdr:to>
    <xdr:sp macro="" textlink="TDINAMICA!D51">
      <xdr:nvSpPr>
        <xdr:cNvPr id="20" name="Rectángulo: esquinas redondeadas 19">
          <a:extLst>
            <a:ext uri="{FF2B5EF4-FFF2-40B4-BE49-F238E27FC236}">
              <a16:creationId xmlns:a16="http://schemas.microsoft.com/office/drawing/2014/main" id="{BFE80FC0-7F83-426C-8E99-C1C0804A2F5C}"/>
            </a:ext>
          </a:extLst>
        </xdr:cNvPr>
        <xdr:cNvSpPr/>
      </xdr:nvSpPr>
      <xdr:spPr>
        <a:xfrm>
          <a:off x="5722621" y="1051560"/>
          <a:ext cx="1188719" cy="282524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B44A72C-1EF1-45E1-9CC2-4D136FE9CCAB}" type="TxLink">
            <a:rPr lang="en-US" sz="16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 $2.579.387 </a:t>
          </a:fld>
          <a:endParaRPr lang="es-CL" sz="1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9</xdr:col>
      <xdr:colOff>411480</xdr:colOff>
      <xdr:row>5</xdr:row>
      <xdr:rowOff>53340</xdr:rowOff>
    </xdr:from>
    <xdr:to>
      <xdr:col>12</xdr:col>
      <xdr:colOff>122040</xdr:colOff>
      <xdr:row>8</xdr:row>
      <xdr:rowOff>80700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A0254B1E-AD2D-46B4-A0AF-EB00A809E988}"/>
            </a:ext>
          </a:extLst>
        </xdr:cNvPr>
        <xdr:cNvSpPr/>
      </xdr:nvSpPr>
      <xdr:spPr>
        <a:xfrm>
          <a:off x="7543800" y="967740"/>
          <a:ext cx="2088000" cy="576000"/>
        </a:xfrm>
        <a:prstGeom prst="roundRect">
          <a:avLst/>
        </a:prstGeom>
        <a:solidFill>
          <a:schemeClr val="bg2"/>
        </a:solidFill>
        <a:ln>
          <a:solidFill>
            <a:srgbClr val="00206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s-CL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Promedio de recuperación de metal (%)</a:t>
          </a:r>
          <a:endParaRPr lang="es-CL" sz="9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9</xdr:col>
      <xdr:colOff>739141</xdr:colOff>
      <xdr:row>5</xdr:row>
      <xdr:rowOff>152400</xdr:rowOff>
    </xdr:from>
    <xdr:to>
      <xdr:col>11</xdr:col>
      <xdr:colOff>525780</xdr:colOff>
      <xdr:row>7</xdr:row>
      <xdr:rowOff>69164</xdr:rowOff>
    </xdr:to>
    <xdr:sp macro="" textlink="TDINAMICA!B54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BB355BFE-4991-4BF8-B093-1C268FDA4201}"/>
            </a:ext>
          </a:extLst>
        </xdr:cNvPr>
        <xdr:cNvSpPr/>
      </xdr:nvSpPr>
      <xdr:spPr>
        <a:xfrm>
          <a:off x="7871461" y="1066800"/>
          <a:ext cx="1371599" cy="282524"/>
        </a:xfrm>
        <a:prstGeom prst="round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AEA7A4D1-F324-4300-B5AE-F00741A0F0BE}" type="TxLink">
            <a:rPr lang="en-US" sz="16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cs typeface="Calibri"/>
            </a:rPr>
            <a:pPr algn="ctr"/>
            <a:t>84,08</a:t>
          </a:fld>
          <a:endParaRPr lang="es-CL" sz="36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oneCell">
    <xdr:from>
      <xdr:col>0</xdr:col>
      <xdr:colOff>304799</xdr:colOff>
      <xdr:row>1</xdr:row>
      <xdr:rowOff>15241</xdr:rowOff>
    </xdr:from>
    <xdr:to>
      <xdr:col>2</xdr:col>
      <xdr:colOff>591839</xdr:colOff>
      <xdr:row>6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Mineral 1" descr="MINERAL">
              <a:extLst>
                <a:ext uri="{FF2B5EF4-FFF2-40B4-BE49-F238E27FC236}">
                  <a16:creationId xmlns:a16="http://schemas.microsoft.com/office/drawing/2014/main" id="{3076F156-CFE6-4837-93E1-78ED59E8EC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r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799" y="199725"/>
              <a:ext cx="1875208" cy="9071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457200</xdr:colOff>
      <xdr:row>1</xdr:row>
      <xdr:rowOff>7620</xdr:rowOff>
    </xdr:from>
    <xdr:to>
      <xdr:col>15</xdr:col>
      <xdr:colOff>744240</xdr:colOff>
      <xdr:row>5</xdr:row>
      <xdr:rowOff>176100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8" name="Región 1">
              <a:extLst>
                <a:ext uri="{FF2B5EF4-FFF2-40B4-BE49-F238E27FC236}">
                  <a16:creationId xmlns:a16="http://schemas.microsoft.com/office/drawing/2014/main" id="{A2F6B979-AAED-4959-A369-C36EF564AC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80295" y="192104"/>
              <a:ext cx="1875208" cy="9064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114301</xdr:colOff>
      <xdr:row>8</xdr:row>
      <xdr:rowOff>0</xdr:rowOff>
    </xdr:from>
    <xdr:to>
      <xdr:col>3</xdr:col>
      <xdr:colOff>731520</xdr:colOff>
      <xdr:row>18</xdr:row>
      <xdr:rowOff>129540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670A6205-15B1-4757-9666-AA105EFF7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19</xdr:row>
      <xdr:rowOff>15241</xdr:rowOff>
    </xdr:from>
    <xdr:to>
      <xdr:col>5</xdr:col>
      <xdr:colOff>495300</xdr:colOff>
      <xdr:row>28</xdr:row>
      <xdr:rowOff>128337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8AE2CDA8-1F87-4327-9AFD-1792F6EFF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647700</xdr:colOff>
      <xdr:row>19</xdr:row>
      <xdr:rowOff>15240</xdr:rowOff>
    </xdr:from>
    <xdr:to>
      <xdr:col>10</xdr:col>
      <xdr:colOff>266700</xdr:colOff>
      <xdr:row>28</xdr:row>
      <xdr:rowOff>104274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FD1EA08D-B6AA-4915-A52F-6EAEA6C77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419100</xdr:colOff>
      <xdr:row>19</xdr:row>
      <xdr:rowOff>22859</xdr:rowOff>
    </xdr:from>
    <xdr:to>
      <xdr:col>16</xdr:col>
      <xdr:colOff>38099</xdr:colOff>
      <xdr:row>28</xdr:row>
      <xdr:rowOff>112294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0CF47A2E-705B-4FC4-9D9F-45EA585E8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243841</xdr:colOff>
      <xdr:row>7</xdr:row>
      <xdr:rowOff>137160</xdr:rowOff>
    </xdr:from>
    <xdr:to>
      <xdr:col>16</xdr:col>
      <xdr:colOff>76201</xdr:colOff>
      <xdr:row>18</xdr:row>
      <xdr:rowOff>106680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ABE618DE-9C9D-4C51-8E95-80583BEE6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83343</xdr:colOff>
      <xdr:row>9</xdr:row>
      <xdr:rowOff>11906</xdr:rowOff>
    </xdr:from>
    <xdr:to>
      <xdr:col>12</xdr:col>
      <xdr:colOff>0</xdr:colOff>
      <xdr:row>18</xdr:row>
      <xdr:rowOff>73919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5" name="Tecnología_Utilizada 1">
              <a:extLst>
                <a:ext uri="{FF2B5EF4-FFF2-40B4-BE49-F238E27FC236}">
                  <a16:creationId xmlns:a16="http://schemas.microsoft.com/office/drawing/2014/main" id="{EE059BA5-3FD5-4CBD-A0D2-294203CE06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cnología_Utilizad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4185" y="1672264"/>
              <a:ext cx="1504826" cy="17223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214313</xdr:colOff>
      <xdr:row>9</xdr:row>
      <xdr:rowOff>35718</xdr:rowOff>
    </xdr:from>
    <xdr:to>
      <xdr:col>6</xdr:col>
      <xdr:colOff>166687</xdr:colOff>
      <xdr:row>18</xdr:row>
      <xdr:rowOff>107156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6" name="Mes_Ingreso 1">
              <a:extLst>
                <a:ext uri="{FF2B5EF4-FFF2-40B4-BE49-F238E27FC236}">
                  <a16:creationId xmlns:a16="http://schemas.microsoft.com/office/drawing/2014/main" id="{EDA9E0FF-F5F0-41F9-8E24-18F78878B4E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_Ingres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0650" y="1696076"/>
              <a:ext cx="1540542" cy="1731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" refreshedDate="45806.716442476849" missingItemsLimit="0" createdVersion="8" refreshedVersion="8" minRefreshableVersion="3" recordCount="500" xr:uid="{E9CF0ADC-D310-43EB-A099-3E89D37C089A}">
  <cacheSource type="worksheet">
    <worksheetSource name="Tb_prod"/>
  </cacheSource>
  <cacheFields count="24">
    <cacheField name="ID_Registro" numFmtId="0">
      <sharedItems containsSemiMixedTypes="0" containsString="0" containsNumber="1" containsInteger="1" minValue="1" maxValue="500"/>
    </cacheField>
    <cacheField name="nombre" numFmtId="0">
      <sharedItems count="3">
        <s v="Minera Romero"/>
        <s v="Minera Staff"/>
        <s v="Minera del Norte"/>
      </sharedItems>
    </cacheField>
    <cacheField name="Mineral" numFmtId="0">
      <sharedItems count="5">
        <s v="Cobre"/>
        <s v="Plata"/>
        <s v="Oro"/>
        <s v="Zinc"/>
        <s v="Hierro"/>
      </sharedItems>
    </cacheField>
    <cacheField name="Región" numFmtId="0">
      <sharedItems count="3">
        <s v="Sur"/>
        <s v="Centro"/>
        <s v="Norte"/>
      </sharedItems>
    </cacheField>
    <cacheField name="Metodo_Extraccion" numFmtId="0">
      <sharedItems count="2">
        <s v="Cielo Abierto"/>
        <s v="Subterranea"/>
      </sharedItems>
    </cacheField>
    <cacheField name="Tecnología_Utilizada" numFmtId="0">
      <sharedItems count="3">
        <s v="Avanzada"/>
        <s v="Mixta"/>
        <s v="Convencional"/>
      </sharedItems>
    </cacheField>
    <cacheField name="Riesgo_Ambiental" numFmtId="0">
      <sharedItems count="3">
        <s v="Bajo"/>
        <s v="Medio"/>
        <s v="Alto"/>
      </sharedItems>
    </cacheField>
    <cacheField name="Producción_Toneladas" numFmtId="4">
      <sharedItems containsSemiMixedTypes="0" containsString="0" containsNumber="1" minValue="1085.24" maxValue="9751.06"/>
    </cacheField>
    <cacheField name="Consumo_Energia_MWh" numFmtId="4">
      <sharedItems containsSemiMixedTypes="0" containsString="0" containsNumber="1" minValue="-10.97" maxValue="3619.83"/>
    </cacheField>
    <cacheField name="Agua_Consumida_m3" numFmtId="4">
      <sharedItems containsSemiMixedTypes="0" containsString="0" containsNumber="1" minValue="13448.85" maxValue="87111.7"/>
    </cacheField>
    <cacheField name="Emisiones_CO2_ton" numFmtId="4">
      <sharedItems containsSemiMixedTypes="0" containsString="0" containsNumber="1" minValue="16.04" maxValue="1768.76"/>
    </cacheField>
    <cacheField name="Costo_Mantenimiento_CLP" numFmtId="165">
      <sharedItems containsSemiMixedTypes="0" containsString="0" containsNumber="1" minValue="939372930" maxValue="148905762469056"/>
    </cacheField>
    <cacheField name="Costo_Operativo_CLP" numFmtId="42">
      <sharedItems containsSemiMixedTypes="0" containsString="0" containsNumber="1" containsInteger="1" minValue="755182750" maxValue="1895198879100"/>
    </cacheField>
    <cacheField name="Costo_por_Dia" numFmtId="165">
      <sharedItems containsSemiMixedTypes="0" containsString="0" containsNumber="1" minValue="34791590" maxValue="6369679528784.3633"/>
    </cacheField>
    <cacheField name="Costo_Promedio_Por_Tonelada" numFmtId="42">
      <sharedItems containsSemiMixedTypes="0" containsString="0" containsNumber="1" minValue="176451.98863503608" maxValue="1015312569.6383857"/>
    </cacheField>
    <cacheField name="Cantidad_Empleados" numFmtId="0">
      <sharedItems containsSemiMixedTypes="0" containsString="0" containsNumber="1" containsInteger="1" minValue="50" maxValue="299"/>
    </cacheField>
    <cacheField name="Dias_Operación_Mes" numFmtId="0">
      <sharedItems containsSemiMixedTypes="0" containsString="0" containsNumber="1" containsInteger="1" minValue="20" maxValue="30"/>
    </cacheField>
    <cacheField name="Fecha_ingreso" numFmtId="164">
      <sharedItems containsSemiMixedTypes="0" containsNonDate="0" containsDate="1" containsString="0" minDate="2023-01-02T00:00:00" maxDate="2025-12-30T00:00:00"/>
    </cacheField>
    <cacheField name="Dias_Ingreso" numFmtId="0">
      <sharedItems containsMixedTypes="1" containsNumber="1" containsInteger="1" minValue="0" maxValue="0"/>
    </cacheField>
    <cacheField name="Mes_Ingreso" numFmtId="0">
      <sharedItems count="12">
        <s v="enero"/>
        <s v="febrero"/>
        <s v="octubre"/>
        <s v="diciembre"/>
        <s v="junio"/>
        <s v="noviembre"/>
        <s v="julio"/>
        <s v="marzo"/>
        <s v="agosto"/>
        <s v="mayo"/>
        <s v="septiembre"/>
        <s v="abril"/>
      </sharedItems>
    </cacheField>
    <cacheField name="Recuperación_Metal_Porcentaje" numFmtId="0">
      <sharedItems containsSemiMixedTypes="0" containsString="0" containsNumber="1" minValue="70.02" maxValue="99"/>
    </cacheField>
    <cacheField name="Emisiones por empleado" numFmtId="0">
      <sharedItems containsSemiMixedTypes="0" containsString="0" containsNumber="1" minValue="0.15276190476190477" maxValue="27.051636363636362"/>
    </cacheField>
    <cacheField name="Clasificación por eficiencia" numFmtId="0">
      <sharedItems count="3">
        <s v="Media"/>
        <s v="Alta"/>
        <s v="Baja"/>
      </sharedItems>
    </cacheField>
    <cacheField name="Clasificación Ambiental Energética" numFmtId="0">
      <sharedItems/>
    </cacheField>
  </cacheFields>
  <extLst>
    <ext xmlns:x14="http://schemas.microsoft.com/office/spreadsheetml/2009/9/main" uri="{725AE2AE-9491-48be-B2B4-4EB974FC3084}">
      <x14:pivotCacheDefinition pivotCacheId="2188930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324"/>
    <x v="0"/>
    <x v="0"/>
    <x v="0"/>
    <x v="0"/>
    <x v="0"/>
    <x v="0"/>
    <n v="5266.63"/>
    <n v="1361.58"/>
    <n v="13448.85"/>
    <n v="798.09"/>
    <n v="24321269700"/>
    <n v="73835920710"/>
    <n v="935433450"/>
    <n v="14019576.220467357"/>
    <n v="257"/>
    <n v="26"/>
    <d v="2025-01-10T00:00:00"/>
    <s v="viernes"/>
    <x v="0"/>
    <n v="84.31"/>
    <n v="3.1054085603112842"/>
    <x v="0"/>
    <s v="Normal"/>
  </r>
  <r>
    <n v="46"/>
    <x v="1"/>
    <x v="0"/>
    <x v="1"/>
    <x v="0"/>
    <x v="0"/>
    <x v="1"/>
    <n v="7121.06"/>
    <n v="1673.73"/>
    <n v="15298.01"/>
    <n v="886.51"/>
    <n v="26659073430"/>
    <n v="102926562570"/>
    <n v="888635781"/>
    <n v="14453826.05539063"/>
    <n v="298"/>
    <n v="30"/>
    <d v="2025-02-14T00:00:00"/>
    <s v="viernes"/>
    <x v="1"/>
    <n v="90.73"/>
    <n v="2.9748657718120803"/>
    <x v="1"/>
    <s v="Normal"/>
  </r>
  <r>
    <n v="447"/>
    <x v="2"/>
    <x v="1"/>
    <x v="2"/>
    <x v="1"/>
    <x v="0"/>
    <x v="2"/>
    <n v="6604.78"/>
    <n v="2410.0500000000002"/>
    <n v="17957.05"/>
    <n v="1265.27"/>
    <n v="29913755400"/>
    <n v="79043669460"/>
    <n v="1150529053.8461537"/>
    <n v="11967646.077537784"/>
    <n v="83"/>
    <n v="26"/>
    <d v="2025-10-29T00:00:00"/>
    <s v="miércoles"/>
    <x v="2"/>
    <n v="81.33"/>
    <n v="15.244216867469879"/>
    <x v="0"/>
    <s v="Normal"/>
  </r>
  <r>
    <n v="330"/>
    <x v="1"/>
    <x v="2"/>
    <x v="1"/>
    <x v="0"/>
    <x v="0"/>
    <x v="1"/>
    <n v="5066.37"/>
    <n v="3148.83"/>
    <n v="21044.09"/>
    <n v="1354.01"/>
    <n v="22434076350"/>
    <n v="140198899770"/>
    <n v="975394623.9130435"/>
    <n v="27672455.776028991"/>
    <n v="286"/>
    <n v="23"/>
    <d v="2023-12-05T00:00:00"/>
    <s v="martes"/>
    <x v="3"/>
    <n v="73.19"/>
    <n v="4.7343006993006993"/>
    <x v="2"/>
    <s v="Normal"/>
  </r>
  <r>
    <n v="267"/>
    <x v="1"/>
    <x v="3"/>
    <x v="1"/>
    <x v="0"/>
    <x v="1"/>
    <x v="1"/>
    <n v="5575.32"/>
    <n v="1455.72"/>
    <n v="21161.88"/>
    <n v="708.12"/>
    <n v="12515887800"/>
    <n v="53309008620"/>
    <n v="521495325"/>
    <n v="9561605.1849938668"/>
    <n v="160"/>
    <n v="24"/>
    <d v="2023-06-04T00:00:00"/>
    <s v="domingo"/>
    <x v="4"/>
    <n v="71.61"/>
    <n v="4.4257499999999999"/>
    <x v="2"/>
    <s v="Normal"/>
  </r>
  <r>
    <n v="224"/>
    <x v="1"/>
    <x v="3"/>
    <x v="1"/>
    <x v="0"/>
    <x v="1"/>
    <x v="2"/>
    <n v="6612.69"/>
    <n v="2049.85"/>
    <n v="21275.79"/>
    <n v="1380.38"/>
    <n v="25034395680"/>
    <n v="23273956170"/>
    <n v="894085560"/>
    <n v="3519589.7841876759"/>
    <n v="118"/>
    <n v="28"/>
    <d v="2025-11-17T00:00:00"/>
    <s v="lunes"/>
    <x v="5"/>
    <n v="95.13"/>
    <n v="11.698135593220339"/>
    <x v="1"/>
    <s v="Normal"/>
  </r>
  <r>
    <n v="90"/>
    <x v="2"/>
    <x v="1"/>
    <x v="2"/>
    <x v="0"/>
    <x v="1"/>
    <x v="0"/>
    <n v="5895.96"/>
    <n v="2438.0700000000002"/>
    <n v="24132.91"/>
    <n v="873.25"/>
    <n v="10073821590"/>
    <n v="45018791730"/>
    <n v="503691079.5"/>
    <n v="7635532.0812895605"/>
    <n v="95"/>
    <n v="20"/>
    <d v="2025-02-18T00:00:00"/>
    <s v="martes"/>
    <x v="1"/>
    <n v="96.44"/>
    <n v="9.1921052631578952"/>
    <x v="1"/>
    <s v="Normal"/>
  </r>
  <r>
    <n v="176"/>
    <x v="0"/>
    <x v="2"/>
    <x v="0"/>
    <x v="0"/>
    <x v="2"/>
    <x v="0"/>
    <n v="5364.96"/>
    <n v="1900.17"/>
    <n v="24801.52"/>
    <n v="661.46"/>
    <n v="1597691160"/>
    <n v="143782542900"/>
    <n v="66570465"/>
    <n v="26800301.008768007"/>
    <n v="126"/>
    <n v="24"/>
    <d v="2024-07-04T00:00:00"/>
    <s v="jueves"/>
    <x v="6"/>
    <n v="79.900000000000006"/>
    <n v="5.2496825396825404"/>
    <x v="0"/>
    <s v="Normal"/>
  </r>
  <r>
    <n v="370"/>
    <x v="2"/>
    <x v="4"/>
    <x v="2"/>
    <x v="1"/>
    <x v="2"/>
    <x v="0"/>
    <n v="4509.9399999999996"/>
    <n v="1722.1"/>
    <n v="25762.240000000002"/>
    <n v="1348.66"/>
    <n v="2739455820"/>
    <n v="143498022930"/>
    <n v="94463993.793103442"/>
    <n v="31818166.745012131"/>
    <n v="226"/>
    <n v="29"/>
    <d v="2025-03-02T00:00:00"/>
    <s v="domingo"/>
    <x v="7"/>
    <n v="70.459999999999994"/>
    <n v="5.9675221238938061"/>
    <x v="2"/>
    <s v="Normal"/>
  </r>
  <r>
    <n v="141"/>
    <x v="2"/>
    <x v="0"/>
    <x v="2"/>
    <x v="1"/>
    <x v="1"/>
    <x v="1"/>
    <n v="4575.34"/>
    <n v="539.66"/>
    <n v="25898.2"/>
    <n v="503.48"/>
    <n v="113814511125856"/>
    <n v="1705424392860"/>
    <n v="4552580445034.2402"/>
    <n v="372742658.00137258"/>
    <n v="197"/>
    <n v="25"/>
    <d v="2024-07-17T00:00:00"/>
    <s v="miércoles"/>
    <x v="6"/>
    <n v="81.8"/>
    <n v="2.5557360406091369"/>
    <x v="0"/>
    <s v="Normal"/>
  </r>
  <r>
    <n v="113"/>
    <x v="2"/>
    <x v="4"/>
    <x v="2"/>
    <x v="0"/>
    <x v="2"/>
    <x v="1"/>
    <n v="3551.57"/>
    <n v="954.31"/>
    <n v="26238.19"/>
    <n v="1121.47"/>
    <n v="15599697840"/>
    <n v="124763771430"/>
    <n v="623987913.60000002"/>
    <n v="35129188.33924152"/>
    <n v="106"/>
    <n v="25"/>
    <d v="2025-12-22T00:00:00"/>
    <s v="lunes"/>
    <x v="3"/>
    <n v="96.97"/>
    <n v="10.579905660377358"/>
    <x v="1"/>
    <s v="Normal"/>
  </r>
  <r>
    <n v="270"/>
    <x v="0"/>
    <x v="3"/>
    <x v="0"/>
    <x v="1"/>
    <x v="0"/>
    <x v="0"/>
    <n v="6152.19"/>
    <n v="1350.98"/>
    <n v="26420.5"/>
    <n v="693.88"/>
    <n v="32059995390"/>
    <n v="89633799990"/>
    <n v="1282399815.5999999"/>
    <n v="14569413.491780976"/>
    <n v="216"/>
    <n v="25"/>
    <d v="2025-10-08T00:00:00"/>
    <s v="miércoles"/>
    <x v="2"/>
    <n v="97.1"/>
    <n v="3.2124074074074076"/>
    <x v="1"/>
    <s v="Normal"/>
  </r>
  <r>
    <n v="86"/>
    <x v="2"/>
    <x v="0"/>
    <x v="2"/>
    <x v="1"/>
    <x v="1"/>
    <x v="2"/>
    <n v="5311.42"/>
    <n v="1579"/>
    <n v="26450.720000000001"/>
    <n v="945.04"/>
    <n v="35556757830"/>
    <n v="90445586490"/>
    <n v="1422270313.2"/>
    <n v="17028513.371188872"/>
    <n v="80"/>
    <n v="25"/>
    <d v="2023-02-10T00:00:00"/>
    <s v="viernes"/>
    <x v="1"/>
    <n v="85.7"/>
    <n v="11.812999999999999"/>
    <x v="0"/>
    <s v="Crítica"/>
  </r>
  <r>
    <n v="284"/>
    <x v="1"/>
    <x v="3"/>
    <x v="1"/>
    <x v="1"/>
    <x v="2"/>
    <x v="0"/>
    <n v="4809.78"/>
    <n v="2317.25"/>
    <n v="26758.46"/>
    <n v="1194.43"/>
    <n v="40980810330"/>
    <n v="121199337720"/>
    <n v="1576185012.6923077"/>
    <n v="25198520.040417649"/>
    <n v="62"/>
    <n v="26"/>
    <d v="2024-02-04T00:00:00"/>
    <s v="domingo"/>
    <x v="1"/>
    <n v="90"/>
    <n v="19.265000000000001"/>
    <x v="0"/>
    <s v="Normal"/>
  </r>
  <r>
    <n v="301"/>
    <x v="1"/>
    <x v="4"/>
    <x v="1"/>
    <x v="1"/>
    <x v="2"/>
    <x v="2"/>
    <n v="3012.39"/>
    <n v="1711.88"/>
    <n v="27242.93"/>
    <n v="1125.6600000000001"/>
    <n v="23272898310"/>
    <n v="105479948430"/>
    <n v="1011865143.9130435"/>
    <n v="35015369.334647909"/>
    <n v="165"/>
    <n v="23"/>
    <d v="2024-03-19T00:00:00"/>
    <s v="martes"/>
    <x v="7"/>
    <n v="90.96"/>
    <n v="6.8221818181818188"/>
    <x v="1"/>
    <s v="Crítica"/>
  </r>
  <r>
    <n v="467"/>
    <x v="2"/>
    <x v="2"/>
    <x v="2"/>
    <x v="1"/>
    <x v="0"/>
    <x v="1"/>
    <n v="6000.47"/>
    <n v="3225.05"/>
    <n v="27803.55"/>
    <n v="1060.6199999999999"/>
    <n v="3697056000850"/>
    <n v="45075724290"/>
    <n v="176050285754.7619"/>
    <n v="7512032.2724719895"/>
    <n v="162"/>
    <n v="21"/>
    <d v="2023-06-22T00:00:00"/>
    <s v="jueves"/>
    <x v="4"/>
    <n v="98.73"/>
    <n v="6.5470370370370361"/>
    <x v="1"/>
    <s v="Normal"/>
  </r>
  <r>
    <n v="450"/>
    <x v="1"/>
    <x v="2"/>
    <x v="1"/>
    <x v="0"/>
    <x v="2"/>
    <x v="1"/>
    <n v="6338.4"/>
    <n v="2207.71"/>
    <n v="27937.599999999999"/>
    <n v="678.41"/>
    <n v="9392504760"/>
    <n v="140733496890"/>
    <n v="426932034.54545456"/>
    <n v="22203315.803672854"/>
    <n v="201"/>
    <n v="22"/>
    <d v="2024-10-17T00:00:00"/>
    <s v="jueves"/>
    <x v="2"/>
    <n v="76.41"/>
    <n v="3.3751741293532338"/>
    <x v="0"/>
    <s v="Normal"/>
  </r>
  <r>
    <n v="286"/>
    <x v="0"/>
    <x v="4"/>
    <x v="0"/>
    <x v="1"/>
    <x v="1"/>
    <x v="1"/>
    <n v="3924.07"/>
    <n v="665.83"/>
    <n v="27997.89"/>
    <n v="412.47"/>
    <n v="21841096590"/>
    <n v="145387211040"/>
    <n v="728036553"/>
    <n v="37050106.404829681"/>
    <n v="291"/>
    <n v="30"/>
    <d v="2025-08-29T00:00:00"/>
    <s v="viernes"/>
    <x v="8"/>
    <n v="78.42"/>
    <n v="1.4174226804123713"/>
    <x v="0"/>
    <s v="Normal"/>
  </r>
  <r>
    <n v="247"/>
    <x v="1"/>
    <x v="3"/>
    <x v="1"/>
    <x v="1"/>
    <x v="0"/>
    <x v="1"/>
    <n v="4552.54"/>
    <n v="2440.56"/>
    <n v="28158.23"/>
    <n v="290.81"/>
    <n v="22168388520"/>
    <n v="178431114510"/>
    <n v="1007654023.6363636"/>
    <n v="39193749.97473938"/>
    <n v="130"/>
    <n v="22"/>
    <d v="2024-12-10T00:00:00"/>
    <s v="martes"/>
    <x v="3"/>
    <n v="81.17"/>
    <n v="2.2370000000000001"/>
    <x v="0"/>
    <s v="Normal"/>
  </r>
  <r>
    <n v="279"/>
    <x v="1"/>
    <x v="1"/>
    <x v="1"/>
    <x v="1"/>
    <x v="2"/>
    <x v="0"/>
    <n v="5899.68"/>
    <n v="3012.19"/>
    <n v="28296.97"/>
    <n v="1160.9100000000001"/>
    <n v="32776621740"/>
    <n v="168280353360"/>
    <n v="1092554058"/>
    <n v="28523640.834757138"/>
    <n v="295"/>
    <n v="30"/>
    <d v="2025-02-02T00:00:00"/>
    <s v="domingo"/>
    <x v="1"/>
    <n v="73.08"/>
    <n v="3.9352881355932205"/>
    <x v="2"/>
    <s v="Normal"/>
  </r>
  <r>
    <n v="125"/>
    <x v="0"/>
    <x v="0"/>
    <x v="0"/>
    <x v="1"/>
    <x v="2"/>
    <x v="2"/>
    <n v="4432.5600000000004"/>
    <n v="2195.11"/>
    <n v="28345.84"/>
    <n v="1511.69"/>
    <n v="9725168880"/>
    <n v="58526546940"/>
    <n v="486258444"/>
    <n v="13203779.969137473"/>
    <n v="164"/>
    <n v="20"/>
    <d v="2024-11-12T00:00:00"/>
    <s v="martes"/>
    <x v="5"/>
    <n v="94.8"/>
    <n v="9.2176219512195132"/>
    <x v="1"/>
    <s v="Normal"/>
  </r>
  <r>
    <n v="391"/>
    <x v="0"/>
    <x v="0"/>
    <x v="0"/>
    <x v="1"/>
    <x v="0"/>
    <x v="1"/>
    <n v="5676.64"/>
    <n v="2016.39"/>
    <n v="28634.51"/>
    <n v="756.1"/>
    <n v="21691275210"/>
    <n v="149091827760"/>
    <n v="903803133.75"/>
    <n v="26264097.733870737"/>
    <n v="87"/>
    <n v="24"/>
    <d v="2024-02-22T00:00:00"/>
    <s v="jueves"/>
    <x v="1"/>
    <n v="73.19"/>
    <n v="8.690804597701149"/>
    <x v="2"/>
    <s v="Normal"/>
  </r>
  <r>
    <n v="333"/>
    <x v="0"/>
    <x v="0"/>
    <x v="0"/>
    <x v="0"/>
    <x v="0"/>
    <x v="0"/>
    <n v="5286.41"/>
    <n v="2143.59"/>
    <n v="29127.18"/>
    <n v="1087.8"/>
    <n v="1397507196538.8899"/>
    <n v="91877625540"/>
    <n v="49910971304.96035"/>
    <n v="17379965.90124489"/>
    <n v="234"/>
    <n v="28"/>
    <d v="2024-05-02T00:00:00"/>
    <s v="jueves"/>
    <x v="9"/>
    <n v="95.09"/>
    <n v="4.6487179487179482"/>
    <x v="1"/>
    <s v="Normal"/>
  </r>
  <r>
    <n v="272"/>
    <x v="2"/>
    <x v="0"/>
    <x v="2"/>
    <x v="1"/>
    <x v="1"/>
    <x v="1"/>
    <n v="5521.1"/>
    <n v="1990.51"/>
    <n v="29497.78"/>
    <n v="801.78"/>
    <n v="4867728480"/>
    <n v="35556974820"/>
    <n v="162257616"/>
    <n v="6440197.5729474192"/>
    <n v="290"/>
    <n v="30"/>
    <d v="2025-06-13T00:00:00"/>
    <s v="viernes"/>
    <x v="4"/>
    <n v="96.62"/>
    <n v="2.7647586206896553"/>
    <x v="1"/>
    <s v="Normal"/>
  </r>
  <r>
    <n v="132"/>
    <x v="2"/>
    <x v="4"/>
    <x v="2"/>
    <x v="0"/>
    <x v="2"/>
    <x v="1"/>
    <n v="5891.55"/>
    <n v="702.89"/>
    <n v="29994.12"/>
    <n v="1103.47"/>
    <n v="22148222850"/>
    <n v="23965765650"/>
    <n v="820304550"/>
    <n v="4067820.123736538"/>
    <n v="256"/>
    <n v="27"/>
    <d v="2024-09-24T00:00:00"/>
    <s v="martes"/>
    <x v="10"/>
    <n v="97.97"/>
    <n v="4.3104296875000001"/>
    <x v="1"/>
    <s v="Normal"/>
  </r>
  <r>
    <n v="104"/>
    <x v="2"/>
    <x v="2"/>
    <x v="2"/>
    <x v="0"/>
    <x v="1"/>
    <x v="1"/>
    <n v="4001.09"/>
    <n v="2347.64"/>
    <n v="30323.49"/>
    <n v="1063.52"/>
    <n v="12639257910"/>
    <n v="142997963220"/>
    <n v="631962895.5"/>
    <n v="35739751.722655572"/>
    <n v="109"/>
    <n v="20"/>
    <d v="2024-05-17T00:00:00"/>
    <s v="viernes"/>
    <x v="9"/>
    <n v="77.260000000000005"/>
    <n v="9.7570642201834854"/>
    <x v="0"/>
    <s v="Normal"/>
  </r>
  <r>
    <n v="409"/>
    <x v="2"/>
    <x v="4"/>
    <x v="2"/>
    <x v="0"/>
    <x v="1"/>
    <x v="1"/>
    <n v="3219.95"/>
    <n v="2176.04"/>
    <n v="30358.7"/>
    <n v="1133.6600000000001"/>
    <n v="30645498600"/>
    <n v="126690644970"/>
    <n v="1532274930"/>
    <n v="39345531.75359866"/>
    <n v="277"/>
    <n v="20"/>
    <d v="2023-10-06T00:00:00"/>
    <s v="viernes"/>
    <x v="2"/>
    <n v="70.040000000000006"/>
    <n v="4.0926353790613721"/>
    <x v="2"/>
    <s v="Normal"/>
  </r>
  <r>
    <n v="252"/>
    <x v="1"/>
    <x v="3"/>
    <x v="1"/>
    <x v="0"/>
    <x v="2"/>
    <x v="1"/>
    <n v="4693.95"/>
    <n v="2937.48"/>
    <n v="30368.13"/>
    <n v="1443.3"/>
    <n v="33697976400"/>
    <n v="74475630000"/>
    <n v="1347919056"/>
    <n v="15866302.367941713"/>
    <n v="192"/>
    <n v="25"/>
    <d v="2024-08-29T00:00:00"/>
    <s v="jueves"/>
    <x v="8"/>
    <n v="73.39"/>
    <n v="7.5171874999999995"/>
    <x v="2"/>
    <s v="Normal"/>
  </r>
  <r>
    <n v="393"/>
    <x v="1"/>
    <x v="4"/>
    <x v="1"/>
    <x v="1"/>
    <x v="0"/>
    <x v="0"/>
    <n v="5004.17"/>
    <n v="1744.14"/>
    <n v="30424.71"/>
    <n v="1389.23"/>
    <n v="12144617730"/>
    <n v="146272279680"/>
    <n v="467100681.92307693"/>
    <n v="29230078.050905544"/>
    <n v="86"/>
    <n v="26"/>
    <d v="2024-09-08T00:00:00"/>
    <s v="domingo"/>
    <x v="10"/>
    <n v="76.989999999999995"/>
    <n v="16.153837209302324"/>
    <x v="0"/>
    <s v="Normal"/>
  </r>
  <r>
    <n v="304"/>
    <x v="0"/>
    <x v="4"/>
    <x v="0"/>
    <x v="0"/>
    <x v="2"/>
    <x v="0"/>
    <n v="4557.1099999999997"/>
    <n v="1898.45"/>
    <n v="30502.62"/>
    <n v="932.99"/>
    <n v="2778608070"/>
    <n v="32807202750"/>
    <n v="120809046.52173913"/>
    <n v="7199124.6096758693"/>
    <n v="229"/>
    <n v="23"/>
    <d v="2023-09-21T00:00:00"/>
    <s v="jueves"/>
    <x v="10"/>
    <n v="86.92"/>
    <n v="4.074192139737991"/>
    <x v="0"/>
    <s v="Normal"/>
  </r>
  <r>
    <n v="78"/>
    <x v="0"/>
    <x v="3"/>
    <x v="0"/>
    <x v="0"/>
    <x v="2"/>
    <x v="2"/>
    <n v="7420.95"/>
    <n v="1843.8"/>
    <n v="30517.599999999999"/>
    <n v="1068.98"/>
    <n v="19450505790"/>
    <n v="34892799030"/>
    <n v="810437741.25"/>
    <n v="4701931.5626705475"/>
    <n v="215"/>
    <n v="24"/>
    <d v="2024-05-27T00:00:00"/>
    <s v="lunes"/>
    <x v="9"/>
    <n v="75.16"/>
    <n v="4.9720000000000004"/>
    <x v="0"/>
    <s v="Crítica"/>
  </r>
  <r>
    <n v="52"/>
    <x v="2"/>
    <x v="3"/>
    <x v="2"/>
    <x v="1"/>
    <x v="2"/>
    <x v="1"/>
    <n v="3073.79"/>
    <n v="1869.05"/>
    <n v="30524.799999999999"/>
    <n v="1136.2"/>
    <n v="25125425640"/>
    <n v="172099166670"/>
    <n v="966362524.61538458"/>
    <n v="55989240.211595461"/>
    <n v="200"/>
    <n v="26"/>
    <d v="2025-04-02T00:00:00"/>
    <s v="miércoles"/>
    <x v="11"/>
    <n v="88.67"/>
    <n v="5.681"/>
    <x v="0"/>
    <s v="Normal"/>
  </r>
  <r>
    <n v="31"/>
    <x v="1"/>
    <x v="1"/>
    <x v="1"/>
    <x v="1"/>
    <x v="2"/>
    <x v="0"/>
    <n v="3123.51"/>
    <n v="2219.1799999999998"/>
    <n v="30546.57"/>
    <n v="475.49"/>
    <n v="44808241950"/>
    <n v="54231799770"/>
    <n v="1948184432.6086957"/>
    <n v="17362454.344631519"/>
    <n v="107"/>
    <n v="23"/>
    <d v="2023-10-16T00:00:00"/>
    <s v="lunes"/>
    <x v="2"/>
    <n v="87.72"/>
    <n v="4.4438317757009349"/>
    <x v="0"/>
    <s v="Normal"/>
  </r>
  <r>
    <n v="66"/>
    <x v="1"/>
    <x v="3"/>
    <x v="1"/>
    <x v="0"/>
    <x v="2"/>
    <x v="2"/>
    <n v="4024.44"/>
    <n v="1724.63"/>
    <n v="31225"/>
    <n v="1108.94"/>
    <n v="44060154390"/>
    <n v="177503925330"/>
    <n v="1573576942.5"/>
    <n v="44106490.674478933"/>
    <n v="213"/>
    <n v="28"/>
    <d v="2025-12-17T00:00:00"/>
    <s v="miércoles"/>
    <x v="3"/>
    <n v="97.42"/>
    <n v="5.2062910798122068"/>
    <x v="1"/>
    <s v="Crítica"/>
  </r>
  <r>
    <n v="2"/>
    <x v="2"/>
    <x v="4"/>
    <x v="2"/>
    <x v="1"/>
    <x v="1"/>
    <x v="2"/>
    <n v="4814.16"/>
    <n v="2416.64"/>
    <n v="31757.89"/>
    <n v="1730.32"/>
    <n v="35915356890"/>
    <n v="54955000800"/>
    <n v="1795767844.5"/>
    <n v="11415283.413928909"/>
    <n v="288"/>
    <n v="20"/>
    <d v="2024-04-20T00:00:00"/>
    <s v="sábado"/>
    <x v="11"/>
    <n v="72.430000000000007"/>
    <n v="6.008055555555555"/>
    <x v="2"/>
    <s v="Normal"/>
  </r>
  <r>
    <n v="37"/>
    <x v="0"/>
    <x v="1"/>
    <x v="0"/>
    <x v="0"/>
    <x v="2"/>
    <x v="2"/>
    <n v="4706"/>
    <n v="3315.14"/>
    <n v="31852.69"/>
    <n v="722.65"/>
    <n v="3049145280"/>
    <n v="11952216090"/>
    <n v="105142940.68965517"/>
    <n v="2539782.4245643858"/>
    <n v="187"/>
    <n v="29"/>
    <d v="2023-11-12T00:00:00"/>
    <s v="domingo"/>
    <x v="5"/>
    <n v="86.88"/>
    <n v="3.8644385026737966"/>
    <x v="0"/>
    <s v="Normal"/>
  </r>
  <r>
    <n v="479"/>
    <x v="2"/>
    <x v="4"/>
    <x v="2"/>
    <x v="0"/>
    <x v="1"/>
    <x v="2"/>
    <n v="6696.05"/>
    <n v="1281.1400000000001"/>
    <n v="31876.34"/>
    <n v="1571.78"/>
    <n v="32872765680"/>
    <n v="135206173530"/>
    <n v="1429250681.7391305"/>
    <n v="20191930.09759485"/>
    <n v="227"/>
    <n v="23"/>
    <d v="2024-05-19T00:00:00"/>
    <s v="domingo"/>
    <x v="9"/>
    <n v="89.46"/>
    <n v="6.9241409691629956"/>
    <x v="0"/>
    <s v="Crítica"/>
  </r>
  <r>
    <n v="444"/>
    <x v="0"/>
    <x v="1"/>
    <x v="0"/>
    <x v="0"/>
    <x v="0"/>
    <x v="2"/>
    <n v="5398.11"/>
    <n v="2866.4"/>
    <n v="32004.9"/>
    <n v="557.49"/>
    <n v="21505553370"/>
    <n v="58925077200"/>
    <n v="768055477.5"/>
    <n v="10915871.888494307"/>
    <n v="191"/>
    <n v="28"/>
    <d v="2023-01-20T00:00:00"/>
    <s v="viernes"/>
    <x v="0"/>
    <n v="74.62"/>
    <n v="2.9187958115183248"/>
    <x v="2"/>
    <s v="Normal"/>
  </r>
  <r>
    <n v="289"/>
    <x v="0"/>
    <x v="1"/>
    <x v="0"/>
    <x v="1"/>
    <x v="1"/>
    <x v="2"/>
    <n v="2921.62"/>
    <n v="2093.83"/>
    <n v="32067.84"/>
    <n v="1039.95"/>
    <n v="12610804230"/>
    <n v="4892209000"/>
    <n v="467066823.33333331"/>
    <n v="1674485.045967648"/>
    <n v="143"/>
    <n v="27"/>
    <d v="2023-10-21T00:00:00"/>
    <s v="sábado"/>
    <x v="2"/>
    <n v="89.5"/>
    <n v="7.2723776223776229"/>
    <x v="0"/>
    <s v="Normal"/>
  </r>
  <r>
    <n v="26"/>
    <x v="2"/>
    <x v="1"/>
    <x v="2"/>
    <x v="0"/>
    <x v="0"/>
    <x v="1"/>
    <n v="6101.68"/>
    <n v="1568.79"/>
    <n v="32424.78"/>
    <n v="1470.68"/>
    <n v="33987986190"/>
    <n v="78510785580"/>
    <n v="1544908463.1818182"/>
    <n v="12867076.867354564"/>
    <n v="60"/>
    <n v="22"/>
    <d v="2025-08-15T00:00:00"/>
    <s v="viernes"/>
    <x v="8"/>
    <n v="92.81"/>
    <n v="24.511333333333333"/>
    <x v="1"/>
    <s v="Normal"/>
  </r>
  <r>
    <n v="308"/>
    <x v="1"/>
    <x v="3"/>
    <x v="1"/>
    <x v="1"/>
    <x v="0"/>
    <x v="1"/>
    <n v="7319.01"/>
    <n v="2470.23"/>
    <n v="32426.69"/>
    <n v="1173.1099999999999"/>
    <n v="23299559010"/>
    <n v="178030241010"/>
    <n v="970814958.75"/>
    <n v="24324360.9463575"/>
    <n v="102"/>
    <n v="24"/>
    <d v="2024-06-04T00:00:00"/>
    <s v="martes"/>
    <x v="4"/>
    <n v="75.319999999999993"/>
    <n v="11.501078431372548"/>
    <x v="0"/>
    <s v="Normal"/>
  </r>
  <r>
    <n v="57"/>
    <x v="1"/>
    <x v="3"/>
    <x v="1"/>
    <x v="1"/>
    <x v="0"/>
    <x v="2"/>
    <n v="5217.9399999999996"/>
    <n v="2306.17"/>
    <n v="32701.759999999998"/>
    <n v="435.87"/>
    <n v="32595877260"/>
    <n v="113427279450"/>
    <n v="1123995767.5862069"/>
    <n v="21737942.45430189"/>
    <n v="185"/>
    <n v="29"/>
    <d v="2024-07-23T00:00:00"/>
    <s v="martes"/>
    <x v="6"/>
    <n v="88.04"/>
    <n v="2.356054054054054"/>
    <x v="0"/>
    <s v="Normal"/>
  </r>
  <r>
    <n v="72"/>
    <x v="1"/>
    <x v="4"/>
    <x v="1"/>
    <x v="0"/>
    <x v="2"/>
    <x v="2"/>
    <n v="5252.71"/>
    <n v="1639.05"/>
    <n v="32917.15"/>
    <n v="1578.27"/>
    <n v="25742328120"/>
    <n v="147972886650"/>
    <n v="1287116406"/>
    <n v="28170770.259542216"/>
    <n v="75"/>
    <n v="20"/>
    <d v="2024-05-07T00:00:00"/>
    <s v="martes"/>
    <x v="9"/>
    <n v="91.65"/>
    <n v="21.043600000000001"/>
    <x v="1"/>
    <s v="Crítica"/>
  </r>
  <r>
    <n v="315"/>
    <x v="2"/>
    <x v="2"/>
    <x v="2"/>
    <x v="0"/>
    <x v="1"/>
    <x v="0"/>
    <n v="3669.5"/>
    <n v="2695.87"/>
    <n v="33450.89"/>
    <n v="1079.8900000000001"/>
    <n v="7674105420"/>
    <n v="69709329630"/>
    <n v="306964216.80000001"/>
    <n v="18996955.887723122"/>
    <n v="101"/>
    <n v="25"/>
    <d v="2025-07-24T00:00:00"/>
    <s v="jueves"/>
    <x v="6"/>
    <n v="76.8"/>
    <n v="10.691980198019802"/>
    <x v="0"/>
    <s v="Normal"/>
  </r>
  <r>
    <n v="329"/>
    <x v="2"/>
    <x v="2"/>
    <x v="2"/>
    <x v="1"/>
    <x v="2"/>
    <x v="0"/>
    <n v="4225.33"/>
    <n v="2282"/>
    <n v="33517.32"/>
    <n v="1046.3800000000001"/>
    <n v="35242875000"/>
    <n v="67333641570"/>
    <n v="1409715000"/>
    <n v="15935711.901792286"/>
    <n v="274"/>
    <n v="25"/>
    <d v="2024-09-25T00:00:00"/>
    <s v="miércoles"/>
    <x v="10"/>
    <n v="75.86"/>
    <n v="3.8189051094890516"/>
    <x v="0"/>
    <s v="Normal"/>
  </r>
  <r>
    <n v="374"/>
    <x v="0"/>
    <x v="1"/>
    <x v="0"/>
    <x v="1"/>
    <x v="0"/>
    <x v="0"/>
    <n v="6151.72"/>
    <n v="1876.83"/>
    <n v="33800.17"/>
    <n v="803.33"/>
    <n v="24966875520"/>
    <n v="109249004880"/>
    <n v="1248343776"/>
    <n v="17759099.061725825"/>
    <n v="137"/>
    <n v="20"/>
    <d v="2024-01-15T00:00:00"/>
    <s v="lunes"/>
    <x v="0"/>
    <n v="83.05"/>
    <n v="5.8637226277372267"/>
    <x v="0"/>
    <s v="Normal"/>
  </r>
  <r>
    <n v="186"/>
    <x v="2"/>
    <x v="3"/>
    <x v="2"/>
    <x v="0"/>
    <x v="0"/>
    <x v="0"/>
    <n v="7581.25"/>
    <n v="2959.47"/>
    <n v="33878.879999999997"/>
    <n v="277.8"/>
    <n v="1390729228138.8899"/>
    <n v="134371561770"/>
    <n v="47956180280.651375"/>
    <n v="17724196.111459192"/>
    <n v="74"/>
    <n v="29"/>
    <d v="2025-09-02T00:00:00"/>
    <s v="martes"/>
    <x v="10"/>
    <n v="80.930000000000007"/>
    <n v="3.7540540540540541"/>
    <x v="0"/>
    <s v="Normal"/>
  </r>
  <r>
    <n v="486"/>
    <x v="0"/>
    <x v="1"/>
    <x v="0"/>
    <x v="1"/>
    <x v="2"/>
    <x v="2"/>
    <n v="4677.6000000000004"/>
    <n v="1589.29"/>
    <n v="33941.519999999997"/>
    <n v="1065.7"/>
    <n v="12114185850"/>
    <n v="107887084920"/>
    <n v="403806195"/>
    <n v="23064623.935351461"/>
    <n v="232"/>
    <n v="30"/>
    <d v="2024-11-02T00:00:00"/>
    <s v="sábado"/>
    <x v="5"/>
    <n v="87.6"/>
    <n v="4.5935344827586206"/>
    <x v="0"/>
    <s v="Crítica"/>
  </r>
  <r>
    <n v="110"/>
    <x v="0"/>
    <x v="1"/>
    <x v="0"/>
    <x v="1"/>
    <x v="2"/>
    <x v="0"/>
    <n v="4718.63"/>
    <n v="1738.91"/>
    <n v="34238.129999999997"/>
    <n v="1198.43"/>
    <n v="7889980680"/>
    <n v="146121671250"/>
    <n v="272068299.31034482"/>
    <n v="30966969.491144676"/>
    <n v="272"/>
    <n v="29"/>
    <d v="2023-07-26T00:00:00"/>
    <s v="miércoles"/>
    <x v="6"/>
    <n v="96.06"/>
    <n v="4.4059926470588238"/>
    <x v="1"/>
    <s v="Normal"/>
  </r>
  <r>
    <n v="269"/>
    <x v="1"/>
    <x v="4"/>
    <x v="1"/>
    <x v="0"/>
    <x v="1"/>
    <x v="1"/>
    <n v="6310.67"/>
    <n v="2273.41"/>
    <n v="34284.36"/>
    <n v="799.18"/>
    <n v="131360136797456"/>
    <n v="169142398200"/>
    <n v="4529659889567.4482"/>
    <n v="26802605.460276008"/>
    <n v="62"/>
    <n v="29"/>
    <d v="2025-02-23T00:00:00"/>
    <s v="domingo"/>
    <x v="1"/>
    <n v="87.05"/>
    <n v="12.889999999999999"/>
    <x v="0"/>
    <s v="Normal"/>
  </r>
  <r>
    <n v="407"/>
    <x v="2"/>
    <x v="0"/>
    <x v="2"/>
    <x v="0"/>
    <x v="0"/>
    <x v="0"/>
    <n v="6374.94"/>
    <n v="1698.74"/>
    <n v="34488.17"/>
    <n v="1280.6199999999999"/>
    <n v="10389915630"/>
    <n v="9379799190"/>
    <n v="358272952.75862068"/>
    <n v="1471354.8974578585"/>
    <n v="258"/>
    <n v="29"/>
    <d v="2024-10-24T00:00:00"/>
    <s v="jueves"/>
    <x v="2"/>
    <n v="97.7"/>
    <n v="4.963643410852713"/>
    <x v="1"/>
    <s v="Normal"/>
  </r>
  <r>
    <n v="317"/>
    <x v="1"/>
    <x v="1"/>
    <x v="1"/>
    <x v="0"/>
    <x v="1"/>
    <x v="2"/>
    <n v="8284.6299999999992"/>
    <n v="2325.48"/>
    <n v="34538.6"/>
    <n v="1399.53"/>
    <n v="8874630450"/>
    <n v="90097149240"/>
    <n v="422601450"/>
    <n v="10875217.027193733"/>
    <n v="231"/>
    <n v="21"/>
    <d v="2023-09-15T00:00:00"/>
    <s v="viernes"/>
    <x v="10"/>
    <n v="73.59"/>
    <n v="6.0585714285714287"/>
    <x v="2"/>
    <s v="Normal"/>
  </r>
  <r>
    <n v="118"/>
    <x v="2"/>
    <x v="1"/>
    <x v="2"/>
    <x v="1"/>
    <x v="2"/>
    <x v="1"/>
    <n v="5053.84"/>
    <n v="2319.81"/>
    <n v="34669.57"/>
    <n v="1113.5999999999999"/>
    <n v="12726255690"/>
    <n v="134206180740"/>
    <n v="636312784.5"/>
    <n v="26555288.798220757"/>
    <n v="275"/>
    <n v="20"/>
    <d v="2024-04-29T00:00:00"/>
    <s v="lunes"/>
    <x v="11"/>
    <n v="83.58"/>
    <n v="4.0494545454545454"/>
    <x v="0"/>
    <s v="Normal"/>
  </r>
  <r>
    <n v="461"/>
    <x v="1"/>
    <x v="0"/>
    <x v="1"/>
    <x v="1"/>
    <x v="1"/>
    <x v="1"/>
    <n v="3404.9"/>
    <n v="2232.9499999999998"/>
    <n v="34731.26"/>
    <n v="1210.55"/>
    <n v="5690146320"/>
    <n v="76368831480"/>
    <n v="210746160"/>
    <n v="22429096.737055421"/>
    <n v="201"/>
    <n v="27"/>
    <d v="2024-03-20T00:00:00"/>
    <s v="miércoles"/>
    <x v="7"/>
    <n v="79.5"/>
    <n v="6.0226368159203973"/>
    <x v="0"/>
    <s v="Normal"/>
  </r>
  <r>
    <n v="442"/>
    <x v="1"/>
    <x v="4"/>
    <x v="1"/>
    <x v="1"/>
    <x v="1"/>
    <x v="0"/>
    <n v="3377.87"/>
    <n v="1884.61"/>
    <n v="34811.449999999997"/>
    <n v="1197.92"/>
    <n v="27915864930"/>
    <n v="151893693810"/>
    <n v="996995176.07142854"/>
    <n v="44967300.047071084"/>
    <n v="265"/>
    <n v="28"/>
    <d v="2025-01-02T00:00:00"/>
    <s v="jueves"/>
    <x v="0"/>
    <n v="81.13"/>
    <n v="4.5204528301886793"/>
    <x v="0"/>
    <s v="Normal"/>
  </r>
  <r>
    <n v="156"/>
    <x v="1"/>
    <x v="0"/>
    <x v="1"/>
    <x v="1"/>
    <x v="1"/>
    <x v="0"/>
    <n v="7770.21"/>
    <n v="1929.56"/>
    <n v="34826.9"/>
    <n v="1462.24"/>
    <n v="29045801610"/>
    <n v="28850354280"/>
    <n v="1117146215.7692308"/>
    <n v="3712943.9590435778"/>
    <n v="298"/>
    <n v="26"/>
    <d v="2024-04-15T00:00:00"/>
    <s v="lunes"/>
    <x v="11"/>
    <n v="98.94"/>
    <n v="4.9068456375838929"/>
    <x v="1"/>
    <s v="Normal"/>
  </r>
  <r>
    <n v="50"/>
    <x v="0"/>
    <x v="3"/>
    <x v="0"/>
    <x v="1"/>
    <x v="1"/>
    <x v="0"/>
    <n v="6519.97"/>
    <n v="2425.6799999999998"/>
    <n v="34959.31"/>
    <n v="862.08"/>
    <n v="6948199080"/>
    <n v="65543474160"/>
    <n v="315827230.90909094"/>
    <n v="10052726.340765372"/>
    <n v="285"/>
    <n v="22"/>
    <d v="2025-10-18T00:00:00"/>
    <s v="sábado"/>
    <x v="2"/>
    <n v="88.18"/>
    <n v="3.0248421052631582"/>
    <x v="0"/>
    <s v="Normal"/>
  </r>
  <r>
    <n v="464"/>
    <x v="2"/>
    <x v="2"/>
    <x v="2"/>
    <x v="1"/>
    <x v="1"/>
    <x v="0"/>
    <n v="3215.08"/>
    <n v="2297.13"/>
    <n v="35137.24"/>
    <n v="1001.75"/>
    <n v="30951248670"/>
    <n v="59090172120"/>
    <n v="1289635361.25"/>
    <n v="18379067.432225637"/>
    <n v="235"/>
    <n v="24"/>
    <d v="2023-04-01T00:00:00"/>
    <s v="sábado"/>
    <x v="11"/>
    <n v="71.08"/>
    <n v="4.2627659574468089"/>
    <x v="2"/>
    <s v="Normal"/>
  </r>
  <r>
    <n v="42"/>
    <x v="1"/>
    <x v="0"/>
    <x v="1"/>
    <x v="0"/>
    <x v="2"/>
    <x v="1"/>
    <n v="4004.56"/>
    <n v="2260.38"/>
    <n v="35260.129999999997"/>
    <n v="1161.6400000000001"/>
    <n v="37656708390"/>
    <n v="60592314330"/>
    <n v="1255223613"/>
    <n v="15130829.436941886"/>
    <n v="133"/>
    <n v="30"/>
    <d v="2025-06-16T00:00:00"/>
    <s v="lunes"/>
    <x v="4"/>
    <n v="80"/>
    <n v="8.7341353383458653"/>
    <x v="0"/>
    <s v="Normal"/>
  </r>
  <r>
    <n v="16"/>
    <x v="1"/>
    <x v="2"/>
    <x v="1"/>
    <x v="0"/>
    <x v="1"/>
    <x v="1"/>
    <n v="4108.3"/>
    <n v="1762.16"/>
    <n v="35267.18"/>
    <n v="855.68"/>
    <n v="41358908340"/>
    <n v="136385566650"/>
    <n v="1378630278"/>
    <n v="33197567.521846019"/>
    <n v="168"/>
    <n v="30"/>
    <d v="2023-01-22T00:00:00"/>
    <s v="domingo"/>
    <x v="0"/>
    <n v="82.15"/>
    <n v="5.0933333333333328"/>
    <x v="0"/>
    <s v="Normal"/>
  </r>
  <r>
    <n v="309"/>
    <x v="1"/>
    <x v="4"/>
    <x v="1"/>
    <x v="0"/>
    <x v="0"/>
    <x v="2"/>
    <n v="3849.57"/>
    <n v="2642.67"/>
    <n v="35444.9"/>
    <n v="1315.33"/>
    <n v="28334545020"/>
    <n v="132674537430"/>
    <n v="1180606042.5"/>
    <n v="34464768.124751598"/>
    <n v="264"/>
    <n v="24"/>
    <d v="2025-05-26T00:00:00"/>
    <s v="lunes"/>
    <x v="9"/>
    <n v="93.81"/>
    <n v="4.9823106060606062"/>
    <x v="1"/>
    <s v="Normal"/>
  </r>
  <r>
    <n v="371"/>
    <x v="0"/>
    <x v="2"/>
    <x v="0"/>
    <x v="0"/>
    <x v="1"/>
    <x v="1"/>
    <n v="6834.79"/>
    <n v="1517.98"/>
    <n v="35656.199999999997"/>
    <n v="762.06"/>
    <n v="1089064620"/>
    <n v="174203670150"/>
    <n v="51860220"/>
    <n v="25487786.771795478"/>
    <n v="276"/>
    <n v="21"/>
    <d v="2025-07-01T00:00:00"/>
    <s v="martes"/>
    <x v="6"/>
    <n v="91.17"/>
    <n v="2.7610869565217389"/>
    <x v="1"/>
    <s v="Normal"/>
  </r>
  <r>
    <n v="408"/>
    <x v="2"/>
    <x v="3"/>
    <x v="2"/>
    <x v="1"/>
    <x v="1"/>
    <x v="1"/>
    <n v="4760.38"/>
    <n v="2335.21"/>
    <n v="35821.050000000003"/>
    <n v="938.77"/>
    <n v="6247766070"/>
    <n v="122435270910"/>
    <n v="208258869"/>
    <n v="25719642.320571046"/>
    <n v="154"/>
    <n v="30"/>
    <d v="2023-02-06T00:00:00"/>
    <s v="lunes"/>
    <x v="1"/>
    <n v="87.72"/>
    <n v="6.0959090909090907"/>
    <x v="0"/>
    <s v="Normal"/>
  </r>
  <r>
    <n v="493"/>
    <x v="1"/>
    <x v="3"/>
    <x v="1"/>
    <x v="1"/>
    <x v="0"/>
    <x v="0"/>
    <n v="4630.24"/>
    <n v="1692.01"/>
    <n v="35993.019999999997"/>
    <n v="1243.02"/>
    <n v="33595726860"/>
    <n v="99468351360"/>
    <n v="1343829074.4000001"/>
    <n v="21482331.663153529"/>
    <n v="180"/>
    <n v="25"/>
    <d v="2023-02-16T00:00:00"/>
    <s v="jueves"/>
    <x v="1"/>
    <n v="82.89"/>
    <n v="6.9056666666666668"/>
    <x v="0"/>
    <s v="Normal"/>
  </r>
  <r>
    <n v="465"/>
    <x v="0"/>
    <x v="2"/>
    <x v="0"/>
    <x v="0"/>
    <x v="0"/>
    <x v="1"/>
    <n v="6101.37"/>
    <n v="2023.32"/>
    <n v="36224.769999999997"/>
    <n v="868.72"/>
    <n v="6524141310"/>
    <n v="98728892820"/>
    <n v="310673395.71428573"/>
    <n v="16181430.206658505"/>
    <n v="76"/>
    <n v="21"/>
    <d v="2024-12-14T00:00:00"/>
    <s v="sábado"/>
    <x v="3"/>
    <n v="96.61"/>
    <n v="11.430526315789473"/>
    <x v="1"/>
    <s v="Normal"/>
  </r>
  <r>
    <n v="20"/>
    <x v="0"/>
    <x v="3"/>
    <x v="0"/>
    <x v="0"/>
    <x v="1"/>
    <x v="0"/>
    <n v="6929.22"/>
    <n v="3479.44"/>
    <n v="36338.18"/>
    <n v="1220.27"/>
    <n v="44043785010"/>
    <n v="147149506080"/>
    <n v="2097323095.7142856"/>
    <n v="21236085.169759367"/>
    <n v="113"/>
    <n v="21"/>
    <d v="2024-04-19T00:00:00"/>
    <s v="viernes"/>
    <x v="11"/>
    <n v="73.989999999999995"/>
    <n v="10.798849557522123"/>
    <x v="2"/>
    <s v="Normal"/>
  </r>
  <r>
    <n v="399"/>
    <x v="2"/>
    <x v="3"/>
    <x v="2"/>
    <x v="0"/>
    <x v="2"/>
    <x v="2"/>
    <n v="4775.0200000000004"/>
    <n v="1484.4"/>
    <n v="36568.720000000001"/>
    <n v="953.05"/>
    <n v="16182802800"/>
    <n v="44874207000"/>
    <n v="558027682.75862074"/>
    <n v="9397700.3237682767"/>
    <n v="226"/>
    <n v="29"/>
    <d v="2024-11-06T00:00:00"/>
    <s v="miércoles"/>
    <x v="5"/>
    <n v="72.930000000000007"/>
    <n v="4.2170353982300881"/>
    <x v="2"/>
    <s v="Crítica"/>
  </r>
  <r>
    <n v="67"/>
    <x v="2"/>
    <x v="2"/>
    <x v="2"/>
    <x v="0"/>
    <x v="2"/>
    <x v="2"/>
    <n v="3983.44"/>
    <n v="1006.14"/>
    <n v="36648.43"/>
    <n v="1039.52"/>
    <n v="36411980580"/>
    <n v="108560036430"/>
    <n v="1820599029"/>
    <n v="27252835.847910348"/>
    <n v="174"/>
    <n v="20"/>
    <d v="2024-10-20T00:00:00"/>
    <s v="domingo"/>
    <x v="2"/>
    <n v="88.33"/>
    <n v="5.9742528735632181"/>
    <x v="0"/>
    <s v="Crítica"/>
  </r>
  <r>
    <n v="193"/>
    <x v="0"/>
    <x v="3"/>
    <x v="0"/>
    <x v="0"/>
    <x v="0"/>
    <x v="0"/>
    <n v="5770.75"/>
    <n v="1638.74"/>
    <n v="36701.03"/>
    <n v="587.19000000000005"/>
    <n v="174175310000"/>
    <n v="83132852850"/>
    <n v="5805843666.666667"/>
    <n v="14405900.940085778"/>
    <n v="169"/>
    <n v="30"/>
    <d v="2023-08-18T00:00:00"/>
    <s v="viernes"/>
    <x v="8"/>
    <n v="77.48"/>
    <n v="3.4744970414201188"/>
    <x v="0"/>
    <s v="Normal"/>
  </r>
  <r>
    <n v="261"/>
    <x v="0"/>
    <x v="2"/>
    <x v="0"/>
    <x v="1"/>
    <x v="2"/>
    <x v="2"/>
    <n v="2982.97"/>
    <n v="1473.41"/>
    <n v="36821.129999999997"/>
    <n v="703.52"/>
    <n v="33713811990"/>
    <n v="471890232300"/>
    <n v="1123793733"/>
    <n v="158194763.03818008"/>
    <n v="72"/>
    <n v="30"/>
    <d v="2024-07-19T00:00:00"/>
    <s v="viernes"/>
    <x v="6"/>
    <n v="85.35"/>
    <n v="9.7711111111111109"/>
    <x v="0"/>
    <s v="Crítica"/>
  </r>
  <r>
    <n v="401"/>
    <x v="1"/>
    <x v="1"/>
    <x v="1"/>
    <x v="0"/>
    <x v="1"/>
    <x v="0"/>
    <n v="6533.66"/>
    <n v="1994.55"/>
    <n v="36843.18"/>
    <n v="1221.79"/>
    <n v="13761906750"/>
    <n v="141617566350"/>
    <n v="509700250"/>
    <n v="21675074.361077864"/>
    <n v="213"/>
    <n v="27"/>
    <d v="2025-07-08T00:00:00"/>
    <s v="martes"/>
    <x v="6"/>
    <n v="99"/>
    <n v="5.7361032863849761"/>
    <x v="1"/>
    <s v="Normal"/>
  </r>
  <r>
    <n v="48"/>
    <x v="2"/>
    <x v="4"/>
    <x v="2"/>
    <x v="0"/>
    <x v="2"/>
    <x v="1"/>
    <n v="9112.82"/>
    <n v="2328.0100000000002"/>
    <n v="37108.339999999997"/>
    <n v="1282.67"/>
    <n v="13355742150"/>
    <n v="37319600340"/>
    <n v="667787107.5"/>
    <n v="4095285.5800948553"/>
    <n v="121"/>
    <n v="20"/>
    <d v="2023-07-25T00:00:00"/>
    <s v="martes"/>
    <x v="6"/>
    <n v="96.4"/>
    <n v="10.600578512396694"/>
    <x v="1"/>
    <s v="Normal"/>
  </r>
  <r>
    <n v="357"/>
    <x v="0"/>
    <x v="3"/>
    <x v="0"/>
    <x v="0"/>
    <x v="2"/>
    <x v="0"/>
    <n v="5297.43"/>
    <n v="2214.5700000000002"/>
    <n v="37200.129999999997"/>
    <n v="1337.89"/>
    <n v="12178747620"/>
    <n v="898882826340"/>
    <n v="419956814.48275864"/>
    <n v="169682813.42839828"/>
    <n v="200"/>
    <n v="29"/>
    <d v="2023-01-23T00:00:00"/>
    <s v="lunes"/>
    <x v="0"/>
    <n v="98.81"/>
    <n v="6.6894500000000008"/>
    <x v="1"/>
    <s v="Normal"/>
  </r>
  <r>
    <n v="334"/>
    <x v="0"/>
    <x v="4"/>
    <x v="0"/>
    <x v="1"/>
    <x v="2"/>
    <x v="2"/>
    <n v="3658.16"/>
    <n v="2857.59"/>
    <n v="37370.239999999998"/>
    <n v="1002.4"/>
    <n v="32493960360"/>
    <n v="566777475420"/>
    <n v="1249767706.1538463"/>
    <n v="154935124.60362586"/>
    <n v="185"/>
    <n v="26"/>
    <d v="2025-08-19T00:00:00"/>
    <s v="martes"/>
    <x v="8"/>
    <n v="87.48"/>
    <n v="5.4183783783783781"/>
    <x v="0"/>
    <s v="Normal"/>
  </r>
  <r>
    <n v="28"/>
    <x v="2"/>
    <x v="2"/>
    <x v="2"/>
    <x v="0"/>
    <x v="2"/>
    <x v="0"/>
    <n v="5183.08"/>
    <n v="2023.5"/>
    <n v="37517"/>
    <n v="688.55"/>
    <n v="30903048810"/>
    <n v="125985614130"/>
    <n v="1471573752.8571429"/>
    <n v="24307094.262484856"/>
    <n v="227"/>
    <n v="21"/>
    <d v="2025-08-15T00:00:00"/>
    <s v="viernes"/>
    <x v="8"/>
    <n v="78.87"/>
    <n v="3.0332599118942731"/>
    <x v="0"/>
    <s v="Normal"/>
  </r>
  <r>
    <n v="490"/>
    <x v="2"/>
    <x v="2"/>
    <x v="2"/>
    <x v="0"/>
    <x v="0"/>
    <x v="0"/>
    <n v="6236.02"/>
    <n v="1570.72"/>
    <n v="37943.629999999997"/>
    <n v="1226.78"/>
    <n v="939372930"/>
    <n v="133945381980"/>
    <n v="34791590"/>
    <n v="21479306.028524604"/>
    <n v="138"/>
    <n v="27"/>
    <d v="2025-06-04T00:00:00"/>
    <s v="miércoles"/>
    <x v="4"/>
    <n v="84.76"/>
    <n v="8.8897101449275358"/>
    <x v="0"/>
    <s v="Normal"/>
  </r>
  <r>
    <n v="70"/>
    <x v="2"/>
    <x v="3"/>
    <x v="2"/>
    <x v="1"/>
    <x v="0"/>
    <x v="2"/>
    <n v="4003.2"/>
    <n v="790.64"/>
    <n v="38024.54"/>
    <n v="1002.98"/>
    <n v="8613978390"/>
    <n v="173229008040"/>
    <n v="319036236.66666669"/>
    <n v="43272633.902877703"/>
    <n v="85"/>
    <n v="27"/>
    <d v="2023-07-07T00:00:00"/>
    <s v="viernes"/>
    <x v="6"/>
    <n v="75.790000000000006"/>
    <n v="11.799764705882353"/>
    <x v="0"/>
    <s v="Crítica"/>
  </r>
  <r>
    <n v="239"/>
    <x v="2"/>
    <x v="4"/>
    <x v="2"/>
    <x v="0"/>
    <x v="1"/>
    <x v="0"/>
    <n v="7027.22"/>
    <n v="1763.61"/>
    <n v="38089.33"/>
    <n v="778.44"/>
    <n v="16375018860"/>
    <n v="29786512410"/>
    <n v="564655822.75862074"/>
    <n v="4238733.4408201249"/>
    <n v="94"/>
    <n v="29"/>
    <d v="2024-06-30T00:00:00"/>
    <s v="domingo"/>
    <x v="4"/>
    <n v="97.86"/>
    <n v="8.2812765957446821"/>
    <x v="1"/>
    <s v="Normal"/>
  </r>
  <r>
    <n v="30"/>
    <x v="1"/>
    <x v="3"/>
    <x v="1"/>
    <x v="1"/>
    <x v="2"/>
    <x v="2"/>
    <n v="5173.53"/>
    <n v="1942.24"/>
    <n v="38142.04"/>
    <n v="848.63"/>
    <n v="28608040260"/>
    <n v="155574119340"/>
    <n v="1021715723.5714285"/>
    <n v="30071173.713112712"/>
    <n v="157"/>
    <n v="28"/>
    <d v="2025-04-11T00:00:00"/>
    <s v="viernes"/>
    <x v="11"/>
    <n v="71.83"/>
    <n v="5.4052866242038213"/>
    <x v="2"/>
    <s v="Crítica"/>
  </r>
  <r>
    <n v="389"/>
    <x v="1"/>
    <x v="0"/>
    <x v="1"/>
    <x v="0"/>
    <x v="1"/>
    <x v="0"/>
    <n v="5062.53"/>
    <n v="2473.34"/>
    <n v="38144.81"/>
    <n v="1656.42"/>
    <n v="1681983180"/>
    <n v="61267337100"/>
    <n v="56066106"/>
    <n v="12102118.328187685"/>
    <n v="77"/>
    <n v="30"/>
    <d v="2023-01-21T00:00:00"/>
    <s v="sábado"/>
    <x v="0"/>
    <n v="84.72"/>
    <n v="21.511948051948053"/>
    <x v="0"/>
    <s v="Normal"/>
  </r>
  <r>
    <n v="445"/>
    <x v="1"/>
    <x v="4"/>
    <x v="1"/>
    <x v="0"/>
    <x v="0"/>
    <x v="0"/>
    <n v="2572.6799999999998"/>
    <n v="2205.5700000000002"/>
    <n v="38187.199999999997"/>
    <n v="1058.07"/>
    <n v="39367010700"/>
    <n v="153729673830"/>
    <n v="1874619557.1428571"/>
    <n v="59754681.4333691"/>
    <n v="286"/>
    <n v="21"/>
    <d v="2025-01-20T00:00:00"/>
    <s v="lunes"/>
    <x v="0"/>
    <n v="80.27"/>
    <n v="3.6995454545454542"/>
    <x v="0"/>
    <s v="Normal"/>
  </r>
  <r>
    <n v="322"/>
    <x v="1"/>
    <x v="2"/>
    <x v="1"/>
    <x v="1"/>
    <x v="2"/>
    <x v="0"/>
    <n v="6808.54"/>
    <n v="1578.04"/>
    <n v="38195.29"/>
    <n v="940.46"/>
    <n v="10335960360"/>
    <n v="74635219080"/>
    <n v="449389580.86956519"/>
    <n v="10962000.528747721"/>
    <n v="124"/>
    <n v="23"/>
    <d v="2025-04-10T00:00:00"/>
    <s v="jueves"/>
    <x v="11"/>
    <n v="73.69"/>
    <n v="7.584354838709678"/>
    <x v="2"/>
    <s v="Normal"/>
  </r>
  <r>
    <n v="200"/>
    <x v="0"/>
    <x v="3"/>
    <x v="0"/>
    <x v="0"/>
    <x v="1"/>
    <x v="0"/>
    <n v="4303.41"/>
    <n v="1702.58"/>
    <n v="38350.870000000003"/>
    <n v="1268.31"/>
    <n v="16704995130"/>
    <n v="116600756130"/>
    <n v="726304136.0869565"/>
    <n v="27094967.974234387"/>
    <n v="286"/>
    <n v="23"/>
    <d v="2024-09-19T00:00:00"/>
    <s v="jueves"/>
    <x v="10"/>
    <n v="96.19"/>
    <n v="4.4346503496503491"/>
    <x v="1"/>
    <s v="Normal"/>
  </r>
  <r>
    <n v="127"/>
    <x v="2"/>
    <x v="4"/>
    <x v="2"/>
    <x v="1"/>
    <x v="2"/>
    <x v="2"/>
    <n v="4600.6400000000003"/>
    <n v="2485.36"/>
    <n v="38368.67"/>
    <n v="1240.3499999999999"/>
    <n v="19566254610"/>
    <n v="108169518150"/>
    <n v="889375209.5454545"/>
    <n v="23511841.428583849"/>
    <n v="217"/>
    <n v="22"/>
    <d v="2025-10-09T00:00:00"/>
    <s v="jueves"/>
    <x v="2"/>
    <n v="88.3"/>
    <n v="5.7158986175115203"/>
    <x v="0"/>
    <s v="Normal"/>
  </r>
  <r>
    <n v="387"/>
    <x v="2"/>
    <x v="2"/>
    <x v="2"/>
    <x v="0"/>
    <x v="0"/>
    <x v="0"/>
    <n v="1773.16"/>
    <n v="2228.0500000000002"/>
    <n v="38414.97"/>
    <n v="1465.35"/>
    <n v="10084877730"/>
    <n v="1800311635980"/>
    <n v="504243886.5"/>
    <n v="1015312569.6383857"/>
    <n v="233"/>
    <n v="20"/>
    <d v="2025-06-14T00:00:00"/>
    <s v="sábado"/>
    <x v="4"/>
    <n v="79.62"/>
    <n v="6.289055793991416"/>
    <x v="0"/>
    <s v="Normal"/>
  </r>
  <r>
    <n v="23"/>
    <x v="2"/>
    <x v="3"/>
    <x v="2"/>
    <x v="1"/>
    <x v="1"/>
    <x v="0"/>
    <n v="5059.6099999999997"/>
    <n v="1305.95"/>
    <n v="38415.67"/>
    <n v="586.98"/>
    <n v="12587136480"/>
    <n v="74950435980"/>
    <n v="503485459.19999999"/>
    <n v="14813480.876984591"/>
    <n v="206"/>
    <n v="25"/>
    <d v="2023-04-27T00:00:00"/>
    <s v="jueves"/>
    <x v="11"/>
    <n v="74.17"/>
    <n v="2.8494174757281554"/>
    <x v="2"/>
    <s v="Normal"/>
  </r>
  <r>
    <n v="454"/>
    <x v="2"/>
    <x v="4"/>
    <x v="2"/>
    <x v="1"/>
    <x v="1"/>
    <x v="0"/>
    <n v="3308.74"/>
    <n v="1207.4000000000001"/>
    <n v="38882.129999999997"/>
    <n v="580.44000000000005"/>
    <n v="8442744120"/>
    <n v="95235367590"/>
    <n v="281424804"/>
    <n v="28782971.037313301"/>
    <n v="75"/>
    <n v="30"/>
    <d v="2024-09-25T00:00:00"/>
    <s v="miércoles"/>
    <x v="10"/>
    <n v="74.91"/>
    <n v="7.7392000000000003"/>
    <x v="2"/>
    <s v="Normal"/>
  </r>
  <r>
    <n v="266"/>
    <x v="0"/>
    <x v="0"/>
    <x v="0"/>
    <x v="0"/>
    <x v="0"/>
    <x v="1"/>
    <n v="5754.18"/>
    <n v="2418.9499999999998"/>
    <n v="38928.89"/>
    <n v="735.57"/>
    <n v="24121754910"/>
    <n v="117024817320"/>
    <n v="1096443405"/>
    <n v="20337357.767744489"/>
    <n v="267"/>
    <n v="22"/>
    <d v="2025-01-04T00:00:00"/>
    <s v="sábado"/>
    <x v="0"/>
    <n v="79.819999999999993"/>
    <n v="2.7549438202247192"/>
    <x v="0"/>
    <s v="Normal"/>
  </r>
  <r>
    <n v="19"/>
    <x v="2"/>
    <x v="0"/>
    <x v="2"/>
    <x v="0"/>
    <x v="1"/>
    <x v="2"/>
    <n v="6037.43"/>
    <n v="2093.2600000000002"/>
    <n v="39009.230000000003"/>
    <n v="828.8"/>
    <n v="16640947800"/>
    <n v="79374923280"/>
    <n v="554698260"/>
    <n v="13147137.652941732"/>
    <n v="66"/>
    <n v="30"/>
    <d v="2024-05-25T00:00:00"/>
    <s v="sábado"/>
    <x v="9"/>
    <n v="96.28"/>
    <n v="12.557575757575757"/>
    <x v="1"/>
    <s v="Normal"/>
  </r>
  <r>
    <n v="484"/>
    <x v="0"/>
    <x v="4"/>
    <x v="0"/>
    <x v="1"/>
    <x v="1"/>
    <x v="1"/>
    <n v="2672.7"/>
    <n v="984.73"/>
    <n v="39059.879999999997"/>
    <n v="1089.93"/>
    <n v="42209741340"/>
    <n v="161665462080"/>
    <n v="1623451590"/>
    <n v="60487694.870355822"/>
    <n v="136"/>
    <n v="26"/>
    <d v="2023-02-27T00:00:00"/>
    <s v="lunes"/>
    <x v="1"/>
    <n v="92.48"/>
    <n v="8.0141911764705895"/>
    <x v="1"/>
    <s v="Normal"/>
  </r>
  <r>
    <n v="43"/>
    <x v="0"/>
    <x v="3"/>
    <x v="0"/>
    <x v="0"/>
    <x v="2"/>
    <x v="1"/>
    <n v="8286.6"/>
    <n v="2346.87"/>
    <n v="39088.879999999997"/>
    <n v="985.42"/>
    <n v="36077350320"/>
    <n v="149578135470"/>
    <n v="1443094012.8"/>
    <n v="18050604.043878067"/>
    <n v="180"/>
    <n v="25"/>
    <d v="2023-06-30T00:00:00"/>
    <s v="viernes"/>
    <x v="4"/>
    <n v="81.319999999999993"/>
    <n v="5.474555555555555"/>
    <x v="0"/>
    <s v="Normal"/>
  </r>
  <r>
    <n v="495"/>
    <x v="2"/>
    <x v="4"/>
    <x v="2"/>
    <x v="0"/>
    <x v="1"/>
    <x v="1"/>
    <n v="2750.62"/>
    <n v="1689.25"/>
    <n v="39148.33"/>
    <n v="1012.52"/>
    <n v="44820730530"/>
    <n v="99690298920"/>
    <n v="1723874251.1538463"/>
    <n v="36242846.674567915"/>
    <n v="198"/>
    <n v="26"/>
    <d v="2025-09-30T00:00:00"/>
    <s v="martes"/>
    <x v="10"/>
    <n v="72.97"/>
    <n v="5.1137373737373739"/>
    <x v="2"/>
    <s v="Normal"/>
  </r>
  <r>
    <n v="179"/>
    <x v="0"/>
    <x v="4"/>
    <x v="0"/>
    <x v="1"/>
    <x v="2"/>
    <x v="2"/>
    <n v="3325.12"/>
    <n v="1272.53"/>
    <n v="39194.85"/>
    <n v="1138.0999999999999"/>
    <n v="28624716000"/>
    <n v="40158600000"/>
    <n v="987059172.41379309"/>
    <n v="12077338.562217304"/>
    <n v="139"/>
    <n v="29"/>
    <d v="2024-10-02T00:00:00"/>
    <s v="miércoles"/>
    <x v="2"/>
    <n v="76.3"/>
    <n v="8.1877697841726604"/>
    <x v="0"/>
    <s v="Crítica"/>
  </r>
  <r>
    <n v="38"/>
    <x v="0"/>
    <x v="4"/>
    <x v="0"/>
    <x v="1"/>
    <x v="1"/>
    <x v="2"/>
    <n v="3554.29"/>
    <n v="2408.39"/>
    <n v="39207.51"/>
    <n v="1099.05"/>
    <n v="43263731700"/>
    <n v="99144524790"/>
    <n v="1802655487.5"/>
    <n v="27894326.233931389"/>
    <n v="209"/>
    <n v="24"/>
    <d v="2023-01-14T00:00:00"/>
    <s v="sábado"/>
    <x v="0"/>
    <n v="78.7"/>
    <n v="5.2586124401913876"/>
    <x v="0"/>
    <s v="Normal"/>
  </r>
  <r>
    <n v="228"/>
    <x v="1"/>
    <x v="2"/>
    <x v="1"/>
    <x v="1"/>
    <x v="2"/>
    <x v="2"/>
    <n v="5199.17"/>
    <n v="2673.31"/>
    <n v="39229.199999999997"/>
    <n v="1106.03"/>
    <n v="24753263940"/>
    <n v="143260175880"/>
    <n v="1125148360.909091"/>
    <n v="27554431.934327979"/>
    <n v="176"/>
    <n v="22"/>
    <d v="2024-03-13T00:00:00"/>
    <s v="miércoles"/>
    <x v="7"/>
    <n v="77.56"/>
    <n v="6.2842613636363636"/>
    <x v="0"/>
    <s v="Normal"/>
  </r>
  <r>
    <n v="306"/>
    <x v="2"/>
    <x v="3"/>
    <x v="2"/>
    <x v="1"/>
    <x v="0"/>
    <x v="2"/>
    <n v="4859.3500000000004"/>
    <n v="1706.61"/>
    <n v="39277.68"/>
    <n v="717.81"/>
    <n v="13331773980"/>
    <n v="111856761270"/>
    <n v="605989726.36363637"/>
    <n v="23018873.155874755"/>
    <n v="157"/>
    <n v="22"/>
    <d v="2023-09-11T00:00:00"/>
    <s v="lunes"/>
    <x v="10"/>
    <n v="93.73"/>
    <n v="4.5720382165605091"/>
    <x v="1"/>
    <s v="Crítica"/>
  </r>
  <r>
    <n v="249"/>
    <x v="0"/>
    <x v="3"/>
    <x v="0"/>
    <x v="0"/>
    <x v="0"/>
    <x v="0"/>
    <n v="2663.63"/>
    <n v="1988.01"/>
    <n v="39351.85"/>
    <n v="303.51"/>
    <n v="1377173291338.8899"/>
    <n v="118738904040"/>
    <n v="45905776377.962997"/>
    <n v="44577852.044015117"/>
    <n v="213"/>
    <n v="30"/>
    <d v="2024-05-11T00:00:00"/>
    <s v="sábado"/>
    <x v="9"/>
    <n v="71.290000000000006"/>
    <n v="1.4249295774647888"/>
    <x v="2"/>
    <s v="Normal"/>
  </r>
  <r>
    <n v="71"/>
    <x v="2"/>
    <x v="0"/>
    <x v="2"/>
    <x v="1"/>
    <x v="2"/>
    <x v="2"/>
    <n v="7606.59"/>
    <n v="1662.44"/>
    <n v="39410.49"/>
    <n v="1686.94"/>
    <n v="32670391950"/>
    <n v="119147399730"/>
    <n v="1361266331.25"/>
    <n v="15663707.355069749"/>
    <n v="150"/>
    <n v="24"/>
    <d v="2024-01-15T00:00:00"/>
    <s v="lunes"/>
    <x v="0"/>
    <n v="91.77"/>
    <n v="11.246266666666667"/>
    <x v="1"/>
    <s v="Crítica"/>
  </r>
  <r>
    <n v="468"/>
    <x v="1"/>
    <x v="1"/>
    <x v="1"/>
    <x v="1"/>
    <x v="2"/>
    <x v="2"/>
    <n v="2675.7"/>
    <n v="2565.39"/>
    <n v="39450.04"/>
    <n v="1195.72"/>
    <n v="3904467570"/>
    <n v="149492344140"/>
    <n v="134636812.75862068"/>
    <n v="55870368.180289276"/>
    <n v="64"/>
    <n v="29"/>
    <d v="2025-05-06T00:00:00"/>
    <s v="martes"/>
    <x v="9"/>
    <n v="95.6"/>
    <n v="18.683125"/>
    <x v="1"/>
    <s v="Normal"/>
  </r>
  <r>
    <n v="288"/>
    <x v="0"/>
    <x v="4"/>
    <x v="0"/>
    <x v="0"/>
    <x v="2"/>
    <x v="1"/>
    <n v="2689.37"/>
    <n v="1520.3"/>
    <n v="39624.769999999997"/>
    <n v="1016.99"/>
    <n v="30524744430"/>
    <n v="27217315710"/>
    <n v="1526237221.5"/>
    <n v="10120331.419626158"/>
    <n v="287"/>
    <n v="20"/>
    <d v="2025-04-13T00:00:00"/>
    <s v="domingo"/>
    <x v="11"/>
    <n v="78.66"/>
    <n v="3.5435191637630661"/>
    <x v="0"/>
    <s v="Normal"/>
  </r>
  <r>
    <n v="51"/>
    <x v="1"/>
    <x v="3"/>
    <x v="1"/>
    <x v="0"/>
    <x v="2"/>
    <x v="0"/>
    <n v="1879.97"/>
    <n v="818.51"/>
    <n v="39643.58"/>
    <n v="717.38"/>
    <n v="27286342380"/>
    <n v="32753159370"/>
    <n v="909544746"/>
    <n v="17422171.295286626"/>
    <n v="105"/>
    <n v="30"/>
    <d v="2024-07-19T00:00:00"/>
    <s v="viernes"/>
    <x v="6"/>
    <n v="70.84"/>
    <n v="6.8321904761904761"/>
    <x v="2"/>
    <s v="Normal"/>
  </r>
  <r>
    <n v="18"/>
    <x v="2"/>
    <x v="4"/>
    <x v="2"/>
    <x v="0"/>
    <x v="0"/>
    <x v="0"/>
    <n v="7918.81"/>
    <n v="2201.39"/>
    <n v="39663.14"/>
    <n v="1070.9000000000001"/>
    <n v="29158001280"/>
    <n v="17974317240"/>
    <n v="1267739186.0869565"/>
    <n v="2269825.5470203222"/>
    <n v="226"/>
    <n v="23"/>
    <d v="2025-01-17T00:00:00"/>
    <s v="viernes"/>
    <x v="0"/>
    <n v="90.56"/>
    <n v="4.738495575221239"/>
    <x v="1"/>
    <s v="Normal"/>
  </r>
  <r>
    <n v="103"/>
    <x v="1"/>
    <x v="3"/>
    <x v="1"/>
    <x v="0"/>
    <x v="2"/>
    <x v="2"/>
    <n v="8353.51"/>
    <n v="1403.93"/>
    <n v="39745.089999999997"/>
    <n v="846.9"/>
    <n v="13816651500"/>
    <n v="125387751240"/>
    <n v="476436258.62068963"/>
    <n v="15010187.482866483"/>
    <n v="161"/>
    <n v="29"/>
    <d v="2025-10-25T00:00:00"/>
    <s v="sábado"/>
    <x v="2"/>
    <n v="76.31"/>
    <n v="5.2602484472049689"/>
    <x v="0"/>
    <s v="Crítica"/>
  </r>
  <r>
    <n v="500"/>
    <x v="0"/>
    <x v="0"/>
    <x v="0"/>
    <x v="0"/>
    <x v="1"/>
    <x v="0"/>
    <n v="2305.96"/>
    <n v="1469.11"/>
    <n v="39980.6"/>
    <n v="809.04"/>
    <n v="8844726870"/>
    <n v="96652282590"/>
    <n v="421177470"/>
    <n v="41914119.321237139"/>
    <n v="263"/>
    <n v="21"/>
    <d v="2025-08-25T00:00:00"/>
    <s v="lunes"/>
    <x v="8"/>
    <n v="97.97"/>
    <n v="3.0761977186311786"/>
    <x v="1"/>
    <s v="Normal"/>
  </r>
  <r>
    <n v="429"/>
    <x v="0"/>
    <x v="4"/>
    <x v="0"/>
    <x v="1"/>
    <x v="1"/>
    <x v="0"/>
    <n v="6423.41"/>
    <n v="2477.42"/>
    <n v="40163.21"/>
    <n v="1051.6600000000001"/>
    <n v="18149252040"/>
    <n v="141524975970"/>
    <n v="648187572.85714281"/>
    <n v="22032686.060830619"/>
    <n v="265"/>
    <n v="28"/>
    <d v="2025-06-03T00:00:00"/>
    <s v="martes"/>
    <x v="4"/>
    <n v="80.489999999999995"/>
    <n v="3.968528301886793"/>
    <x v="0"/>
    <s v="Normal"/>
  </r>
  <r>
    <n v="406"/>
    <x v="1"/>
    <x v="4"/>
    <x v="1"/>
    <x v="0"/>
    <x v="2"/>
    <x v="1"/>
    <n v="5130.29"/>
    <n v="1536.58"/>
    <n v="40174.83"/>
    <n v="922.18"/>
    <n v="41275352970"/>
    <n v="68112923220"/>
    <n v="1876152407.7272727"/>
    <n v="13276622.417056346"/>
    <n v="81"/>
    <n v="22"/>
    <d v="2023-04-06T00:00:00"/>
    <s v="jueves"/>
    <x v="11"/>
    <n v="72.72"/>
    <n v="11.384938271604938"/>
    <x v="2"/>
    <s v="Normal"/>
  </r>
  <r>
    <n v="181"/>
    <x v="1"/>
    <x v="0"/>
    <x v="1"/>
    <x v="0"/>
    <x v="1"/>
    <x v="1"/>
    <n v="6413.25"/>
    <n v="1790.01"/>
    <n v="40192.589999999997"/>
    <n v="484.37"/>
    <n v="34500081240"/>
    <n v="36426834720"/>
    <n v="1326926201.5384614"/>
    <n v="5679933.6872880366"/>
    <n v="144"/>
    <n v="26"/>
    <d v="2025-06-02T00:00:00"/>
    <s v="lunes"/>
    <x v="4"/>
    <n v="98.08"/>
    <n v="3.3636805555555558"/>
    <x v="1"/>
    <s v="Normal"/>
  </r>
  <r>
    <n v="238"/>
    <x v="2"/>
    <x v="3"/>
    <x v="2"/>
    <x v="0"/>
    <x v="0"/>
    <x v="1"/>
    <n v="7964.82"/>
    <n v="1785.37"/>
    <n v="40226.33"/>
    <n v="765.84"/>
    <n v="4003237440"/>
    <n v="53061298650"/>
    <n v="142972765.7142857"/>
    <n v="6661958.2928427765"/>
    <n v="62"/>
    <n v="28"/>
    <d v="2023-12-10T00:00:00"/>
    <s v="domingo"/>
    <x v="3"/>
    <n v="87.87"/>
    <n v="12.35225806451613"/>
    <x v="0"/>
    <s v="Normal"/>
  </r>
  <r>
    <n v="69"/>
    <x v="0"/>
    <x v="3"/>
    <x v="0"/>
    <x v="0"/>
    <x v="1"/>
    <x v="0"/>
    <n v="4600.5200000000004"/>
    <n v="2686.39"/>
    <n v="40310.69"/>
    <n v="1564.69"/>
    <n v="9714619980"/>
    <n v="407576334600"/>
    <n v="388584799.19999999"/>
    <n v="88593536.078530252"/>
    <n v="273"/>
    <n v="25"/>
    <d v="2025-02-02T00:00:00"/>
    <s v="domingo"/>
    <x v="1"/>
    <n v="85.23"/>
    <n v="5.7314652014652019"/>
    <x v="0"/>
    <s v="Normal"/>
  </r>
  <r>
    <n v="273"/>
    <x v="2"/>
    <x v="0"/>
    <x v="2"/>
    <x v="0"/>
    <x v="1"/>
    <x v="1"/>
    <n v="8890.36"/>
    <n v="2510.06"/>
    <n v="40342.42"/>
    <n v="739.98"/>
    <n v="30043923750"/>
    <n v="68445417060"/>
    <n v="1035997370.6896552"/>
    <n v="7698835.2620141357"/>
    <n v="205"/>
    <n v="29"/>
    <d v="2024-06-21T00:00:00"/>
    <s v="viernes"/>
    <x v="4"/>
    <n v="96.34"/>
    <n v="3.609658536585366"/>
    <x v="1"/>
    <s v="Normal"/>
  </r>
  <r>
    <n v="155"/>
    <x v="2"/>
    <x v="1"/>
    <x v="2"/>
    <x v="0"/>
    <x v="2"/>
    <x v="2"/>
    <n v="4649.01"/>
    <n v="1873.2"/>
    <n v="40390.910000000003"/>
    <n v="585.26"/>
    <n v="27167801580"/>
    <n v="132553805040"/>
    <n v="970278627.85714281"/>
    <n v="28512264.985448513"/>
    <n v="120"/>
    <n v="28"/>
    <d v="2023-05-03T00:00:00"/>
    <s v="miércoles"/>
    <x v="9"/>
    <n v="77.8"/>
    <n v="4.8771666666666667"/>
    <x v="0"/>
    <s v="Crítica"/>
  </r>
  <r>
    <n v="73"/>
    <x v="0"/>
    <x v="4"/>
    <x v="0"/>
    <x v="0"/>
    <x v="2"/>
    <x v="1"/>
    <n v="4986.7"/>
    <n v="2983.69"/>
    <n v="40503.39"/>
    <n v="466.49"/>
    <n v="1394118212338.8899"/>
    <n v="138282778080"/>
    <n v="69705910616.944489"/>
    <n v="27730318.262578461"/>
    <n v="135"/>
    <n v="20"/>
    <d v="2025-11-30T00:00:00"/>
    <s v="domingo"/>
    <x v="5"/>
    <n v="74.22"/>
    <n v="3.4554814814814816"/>
    <x v="2"/>
    <s v="Normal"/>
  </r>
  <r>
    <n v="482"/>
    <x v="2"/>
    <x v="3"/>
    <x v="2"/>
    <x v="0"/>
    <x v="2"/>
    <x v="1"/>
    <n v="3120.31"/>
    <n v="2068.83"/>
    <n v="40679.81"/>
    <n v="1215.31"/>
    <n v="12654968670"/>
    <n v="75897240030"/>
    <n v="506198746.80000001"/>
    <n v="24323621.701048933"/>
    <n v="264"/>
    <n v="25"/>
    <d v="2025-07-22T00:00:00"/>
    <s v="martes"/>
    <x v="6"/>
    <n v="94.23"/>
    <n v="4.6034469696969698"/>
    <x v="1"/>
    <s v="Normal"/>
  </r>
  <r>
    <n v="153"/>
    <x v="1"/>
    <x v="0"/>
    <x v="1"/>
    <x v="0"/>
    <x v="2"/>
    <x v="0"/>
    <n v="5735.63"/>
    <n v="1589.84"/>
    <n v="40715.300000000003"/>
    <n v="848.97"/>
    <n v="17851970250"/>
    <n v="67898529720"/>
    <n v="661184083.33333337"/>
    <n v="11838024.719167728"/>
    <n v="260"/>
    <n v="27"/>
    <d v="2025-04-15T00:00:00"/>
    <s v="martes"/>
    <x v="11"/>
    <n v="90.37"/>
    <n v="3.2652692307692308"/>
    <x v="1"/>
    <s v="Normal"/>
  </r>
  <r>
    <n v="117"/>
    <x v="0"/>
    <x v="2"/>
    <x v="0"/>
    <x v="1"/>
    <x v="2"/>
    <x v="1"/>
    <n v="6361.24"/>
    <n v="2654.93"/>
    <n v="40741.46"/>
    <n v="1013.16"/>
    <n v="9914560020"/>
    <n v="17553229200"/>
    <n v="431067826.95652175"/>
    <n v="2759403.7011651816"/>
    <n v="233"/>
    <n v="23"/>
    <d v="2023-04-06T00:00:00"/>
    <s v="jueves"/>
    <x v="11"/>
    <n v="71.47"/>
    <n v="4.3483261802575104"/>
    <x v="2"/>
    <s v="Normal"/>
  </r>
  <r>
    <n v="236"/>
    <x v="1"/>
    <x v="2"/>
    <x v="1"/>
    <x v="1"/>
    <x v="1"/>
    <x v="0"/>
    <n v="8620.09"/>
    <n v="2371.42"/>
    <n v="40786.050000000003"/>
    <n v="1369.76"/>
    <n v="30494845530"/>
    <n v="35335410840"/>
    <n v="1051546397.5862069"/>
    <n v="4099192.7972909794"/>
    <n v="199"/>
    <n v="29"/>
    <d v="2025-10-16T00:00:00"/>
    <s v="jueves"/>
    <x v="2"/>
    <n v="72.95"/>
    <n v="6.8832160804020104"/>
    <x v="2"/>
    <s v="Normal"/>
  </r>
  <r>
    <n v="340"/>
    <x v="0"/>
    <x v="3"/>
    <x v="0"/>
    <x v="0"/>
    <x v="2"/>
    <x v="1"/>
    <n v="5600.17"/>
    <n v="1469.59"/>
    <n v="40834.54"/>
    <n v="1243.3399999999999"/>
    <n v="44589807990"/>
    <n v="133811887770"/>
    <n v="1592493142.5"/>
    <n v="23894254.597628284"/>
    <n v="156"/>
    <n v="28"/>
    <d v="2023-06-03T00:00:00"/>
    <s v="sábado"/>
    <x v="4"/>
    <n v="95.52"/>
    <n v="7.970128205128205"/>
    <x v="1"/>
    <s v="Normal"/>
  </r>
  <r>
    <n v="233"/>
    <x v="1"/>
    <x v="3"/>
    <x v="1"/>
    <x v="0"/>
    <x v="2"/>
    <x v="2"/>
    <n v="6897.8"/>
    <n v="1827.45"/>
    <n v="40922.17"/>
    <n v="1184.71"/>
    <n v="39708549360"/>
    <n v="79457519340"/>
    <n v="1890883302.8571429"/>
    <n v="11519255.319087245"/>
    <n v="133"/>
    <n v="21"/>
    <d v="2024-03-17T00:00:00"/>
    <s v="domingo"/>
    <x v="7"/>
    <n v="92.17"/>
    <n v="8.9075939849624071"/>
    <x v="1"/>
    <s v="Crítica"/>
  </r>
  <r>
    <n v="53"/>
    <x v="1"/>
    <x v="3"/>
    <x v="1"/>
    <x v="1"/>
    <x v="0"/>
    <x v="1"/>
    <n v="7000.79"/>
    <n v="1385.95"/>
    <n v="41105.68"/>
    <n v="1093.51"/>
    <n v="27245477880"/>
    <n v="173534327100"/>
    <n v="939499237.24137926"/>
    <n v="24787820.674523875"/>
    <n v="153"/>
    <n v="29"/>
    <d v="2024-02-06T00:00:00"/>
    <s v="martes"/>
    <x v="1"/>
    <n v="78.040000000000006"/>
    <n v="7.147124183006536"/>
    <x v="0"/>
    <s v="Normal"/>
  </r>
  <r>
    <n v="369"/>
    <x v="0"/>
    <x v="3"/>
    <x v="0"/>
    <x v="0"/>
    <x v="0"/>
    <x v="1"/>
    <n v="4093.49"/>
    <n v="2758.75"/>
    <n v="41185.120000000003"/>
    <n v="1041.18"/>
    <n v="1380562275538.8899"/>
    <n v="145669829490"/>
    <n v="60024446762.560432"/>
    <n v="35585729.900402837"/>
    <n v="282"/>
    <n v="23"/>
    <d v="2024-05-11T00:00:00"/>
    <s v="sábado"/>
    <x v="9"/>
    <n v="96.77"/>
    <n v="3.6921276595744681"/>
    <x v="1"/>
    <s v="Normal"/>
  </r>
  <r>
    <n v="237"/>
    <x v="0"/>
    <x v="0"/>
    <x v="0"/>
    <x v="1"/>
    <x v="2"/>
    <x v="1"/>
    <n v="5977.11"/>
    <n v="1725.12"/>
    <n v="41409.839999999997"/>
    <n v="576.96"/>
    <n v="25596528030"/>
    <n v="30884746050"/>
    <n v="882638897.58620691"/>
    <n v="5167170.4301911797"/>
    <n v="181"/>
    <n v="29"/>
    <d v="2025-03-26T00:00:00"/>
    <s v="miércoles"/>
    <x v="7"/>
    <n v="70.459999999999994"/>
    <n v="3.1876243093922656"/>
    <x v="2"/>
    <s v="Normal"/>
  </r>
  <r>
    <n v="361"/>
    <x v="0"/>
    <x v="3"/>
    <x v="0"/>
    <x v="0"/>
    <x v="2"/>
    <x v="1"/>
    <n v="6258.78"/>
    <n v="2051.64"/>
    <n v="41479.9"/>
    <n v="630.55999999999995"/>
    <n v="3005055900"/>
    <n v="117623143260"/>
    <n v="103622617.24137931"/>
    <n v="18793302.090822812"/>
    <n v="227"/>
    <n v="29"/>
    <d v="2024-03-17T00:00:00"/>
    <s v="domingo"/>
    <x v="7"/>
    <n v="91.02"/>
    <n v="2.7777973568281937"/>
    <x v="1"/>
    <s v="Normal"/>
  </r>
  <r>
    <n v="421"/>
    <x v="0"/>
    <x v="2"/>
    <x v="0"/>
    <x v="1"/>
    <x v="2"/>
    <x v="1"/>
    <n v="5381.37"/>
    <n v="1640.98"/>
    <n v="41593.07"/>
    <n v="1177.5999999999999"/>
    <n v="9230778540"/>
    <n v="92322891900"/>
    <n v="461538927"/>
    <n v="17156020.102687605"/>
    <n v="219"/>
    <n v="20"/>
    <d v="2024-03-20T00:00:00"/>
    <s v="miércoles"/>
    <x v="7"/>
    <n v="77.06"/>
    <n v="5.377168949771689"/>
    <x v="0"/>
    <s v="Normal"/>
  </r>
  <r>
    <n v="257"/>
    <x v="1"/>
    <x v="0"/>
    <x v="1"/>
    <x v="1"/>
    <x v="1"/>
    <x v="1"/>
    <n v="3734.94"/>
    <n v="2048.94"/>
    <n v="41606.18"/>
    <n v="1438.52"/>
    <n v="3093708060"/>
    <n v="45555649020"/>
    <n v="110489573.57142857"/>
    <n v="12197156.853925364"/>
    <n v="121"/>
    <n v="28"/>
    <d v="2023-07-09T00:00:00"/>
    <s v="domingo"/>
    <x v="6"/>
    <n v="75.56"/>
    <n v="11.888595041322313"/>
    <x v="0"/>
    <s v="Normal"/>
  </r>
  <r>
    <n v="427"/>
    <x v="0"/>
    <x v="0"/>
    <x v="0"/>
    <x v="0"/>
    <x v="2"/>
    <x v="2"/>
    <n v="4189.5200000000004"/>
    <n v="3166.33"/>
    <n v="41920.53"/>
    <n v="472.54"/>
    <n v="39042533160"/>
    <n v="98308808820"/>
    <n v="1561701326.4000001"/>
    <n v="23465411.030380566"/>
    <n v="253"/>
    <n v="25"/>
    <d v="2023-07-11T00:00:00"/>
    <s v="martes"/>
    <x v="6"/>
    <n v="70.44"/>
    <n v="1.8677470355731227"/>
    <x v="2"/>
    <s v="Normal"/>
  </r>
  <r>
    <n v="112"/>
    <x v="1"/>
    <x v="1"/>
    <x v="1"/>
    <x v="1"/>
    <x v="2"/>
    <x v="1"/>
    <n v="5344.47"/>
    <n v="1215.17"/>
    <n v="41946.28"/>
    <n v="949.57"/>
    <n v="148905762469056"/>
    <n v="131196891870"/>
    <n v="5956230498762.2402"/>
    <n v="24548157.604028087"/>
    <n v="283"/>
    <n v="25"/>
    <d v="2025-06-10T00:00:00"/>
    <s v="martes"/>
    <x v="4"/>
    <n v="74.33"/>
    <n v="3.3553710247349824"/>
    <x v="2"/>
    <s v="Normal"/>
  </r>
  <r>
    <n v="346"/>
    <x v="1"/>
    <x v="2"/>
    <x v="1"/>
    <x v="0"/>
    <x v="0"/>
    <x v="1"/>
    <n v="5758.14"/>
    <n v="2601.83"/>
    <n v="42026.02"/>
    <n v="1195.3499999999999"/>
    <n v="22260423870"/>
    <n v="4282555000"/>
    <n v="927517661.25"/>
    <n v="743739.29775934585"/>
    <n v="152"/>
    <n v="24"/>
    <d v="2023-04-04T00:00:00"/>
    <s v="martes"/>
    <x v="11"/>
    <n v="73.25"/>
    <n v="7.8641447368421042"/>
    <x v="2"/>
    <s v="Normal"/>
  </r>
  <r>
    <n v="256"/>
    <x v="1"/>
    <x v="1"/>
    <x v="1"/>
    <x v="0"/>
    <x v="1"/>
    <x v="0"/>
    <n v="2003.88"/>
    <n v="2509"/>
    <n v="42079.62"/>
    <n v="1123.22"/>
    <n v="1363617354538.8899"/>
    <n v="98186608890"/>
    <n v="64934159739.947136"/>
    <n v="48998247.844182283"/>
    <n v="107"/>
    <n v="21"/>
    <d v="2023-09-10T00:00:00"/>
    <s v="domingo"/>
    <x v="10"/>
    <n v="72.290000000000006"/>
    <n v="10.497383177570093"/>
    <x v="2"/>
    <s v="Normal"/>
  </r>
  <r>
    <n v="492"/>
    <x v="1"/>
    <x v="4"/>
    <x v="1"/>
    <x v="0"/>
    <x v="1"/>
    <x v="1"/>
    <n v="6305.86"/>
    <n v="1949.44"/>
    <n v="42177.65"/>
    <n v="1221.55"/>
    <n v="32344709130"/>
    <n v="56455769520"/>
    <n v="1244027274.2307692"/>
    <n v="8952905.6338072848"/>
    <n v="207"/>
    <n v="26"/>
    <d v="2025-03-01T00:00:00"/>
    <s v="sábado"/>
    <x v="7"/>
    <n v="81.13"/>
    <n v="5.9012077294685987"/>
    <x v="0"/>
    <s v="Normal"/>
  </r>
  <r>
    <n v="174"/>
    <x v="0"/>
    <x v="3"/>
    <x v="0"/>
    <x v="1"/>
    <x v="1"/>
    <x v="1"/>
    <n v="6096.72"/>
    <n v="1778.61"/>
    <n v="42244.22"/>
    <n v="1310.86"/>
    <n v="23095715760"/>
    <n v="178343131500"/>
    <n v="769857192"/>
    <n v="29252308.044325471"/>
    <n v="183"/>
    <n v="30"/>
    <d v="2024-05-03T00:00:00"/>
    <s v="viernes"/>
    <x v="9"/>
    <n v="89.5"/>
    <n v="7.1631693989071037"/>
    <x v="0"/>
    <s v="Normal"/>
  </r>
  <r>
    <n v="54"/>
    <x v="2"/>
    <x v="4"/>
    <x v="2"/>
    <x v="0"/>
    <x v="0"/>
    <x v="0"/>
    <n v="5476.72"/>
    <n v="2181.0300000000002"/>
    <n v="42268.62"/>
    <n v="865.37"/>
    <n v="25657317000"/>
    <n v="59702402070"/>
    <n v="855243900"/>
    <n v="10901123.678040871"/>
    <n v="188"/>
    <n v="30"/>
    <d v="2025-01-28T00:00:00"/>
    <s v="martes"/>
    <x v="0"/>
    <n v="83.04"/>
    <n v="4.6030319148936174"/>
    <x v="0"/>
    <s v="Normal"/>
  </r>
  <r>
    <n v="116"/>
    <x v="0"/>
    <x v="4"/>
    <x v="0"/>
    <x v="0"/>
    <x v="1"/>
    <x v="2"/>
    <n v="4053.51"/>
    <n v="2332.3000000000002"/>
    <n v="42280.11"/>
    <n v="718.2"/>
    <n v="31009394430"/>
    <n v="118613363310"/>
    <n v="1476637830"/>
    <n v="29261889.895423964"/>
    <n v="230"/>
    <n v="21"/>
    <d v="2025-10-17T00:00:00"/>
    <s v="viernes"/>
    <x v="2"/>
    <n v="78.77"/>
    <n v="3.1226086956521741"/>
    <x v="0"/>
    <s v="Normal"/>
  </r>
  <r>
    <n v="428"/>
    <x v="2"/>
    <x v="4"/>
    <x v="2"/>
    <x v="0"/>
    <x v="1"/>
    <x v="1"/>
    <n v="5770.31"/>
    <n v="1026.25"/>
    <n v="42312.93"/>
    <n v="1191.54"/>
    <n v="5945583780"/>
    <n v="126743462280"/>
    <n v="237823351.19999999"/>
    <n v="21964757.921151549"/>
    <n v="249"/>
    <n v="25"/>
    <d v="2024-04-01T00:00:00"/>
    <s v="lunes"/>
    <x v="11"/>
    <n v="92.64"/>
    <n v="4.7853012048192767"/>
    <x v="1"/>
    <s v="Normal"/>
  </r>
  <r>
    <n v="420"/>
    <x v="1"/>
    <x v="3"/>
    <x v="1"/>
    <x v="1"/>
    <x v="0"/>
    <x v="0"/>
    <n v="6468.34"/>
    <n v="2096.94"/>
    <n v="42398.04"/>
    <n v="885.2"/>
    <n v="2910734370"/>
    <n v="119911163940"/>
    <n v="107804976.66666667"/>
    <n v="18538166.50639886"/>
    <n v="178"/>
    <n v="27"/>
    <d v="2024-01-31T00:00:00"/>
    <s v="miércoles"/>
    <x v="0"/>
    <n v="90.08"/>
    <n v="4.9730337078651692"/>
    <x v="1"/>
    <s v="Normal"/>
  </r>
  <r>
    <n v="138"/>
    <x v="1"/>
    <x v="2"/>
    <x v="1"/>
    <x v="0"/>
    <x v="1"/>
    <x v="1"/>
    <n v="6293.39"/>
    <n v="1954.51"/>
    <n v="42415.27"/>
    <n v="1231.31"/>
    <n v="13432834493800"/>
    <n v="122907300210"/>
    <n v="671641724690"/>
    <n v="19529585.836886"/>
    <n v="81"/>
    <n v="20"/>
    <d v="2024-11-14T00:00:00"/>
    <s v="jueves"/>
    <x v="5"/>
    <n v="72.91"/>
    <n v="15.201358024691357"/>
    <x v="2"/>
    <s v="Normal"/>
  </r>
  <r>
    <n v="462"/>
    <x v="0"/>
    <x v="2"/>
    <x v="0"/>
    <x v="0"/>
    <x v="0"/>
    <x v="1"/>
    <n v="3889.93"/>
    <n v="1582.15"/>
    <n v="42433.48"/>
    <n v="981.41"/>
    <n v="39348208800"/>
    <n v="47958221520"/>
    <n v="1639508700"/>
    <n v="12328813.50564149"/>
    <n v="54"/>
    <n v="24"/>
    <d v="2025-05-25T00:00:00"/>
    <s v="domingo"/>
    <x v="9"/>
    <n v="73.349999999999994"/>
    <n v="18.174259259259259"/>
    <x v="2"/>
    <s v="Normal"/>
  </r>
  <r>
    <n v="45"/>
    <x v="1"/>
    <x v="2"/>
    <x v="1"/>
    <x v="0"/>
    <x v="2"/>
    <x v="2"/>
    <n v="3088.9"/>
    <n v="1739.53"/>
    <n v="42465.279999999999"/>
    <n v="893.56"/>
    <n v="11454108660"/>
    <n v="68087888010"/>
    <n v="409075309.28571427"/>
    <n v="22042762.151574995"/>
    <n v="175"/>
    <n v="28"/>
    <d v="2024-05-23T00:00:00"/>
    <s v="jueves"/>
    <x v="9"/>
    <n v="93.59"/>
    <n v="5.1060571428571428"/>
    <x v="1"/>
    <s v="Crítica"/>
  </r>
  <r>
    <n v="298"/>
    <x v="0"/>
    <x v="1"/>
    <x v="0"/>
    <x v="1"/>
    <x v="0"/>
    <x v="0"/>
    <n v="7706.75"/>
    <n v="1427.84"/>
    <n v="42590.52"/>
    <n v="1332.64"/>
    <n v="35289299070"/>
    <n v="123573101580"/>
    <n v="1357280733.4615386"/>
    <n v="16034398.62198722"/>
    <n v="130"/>
    <n v="26"/>
    <d v="2025-04-17T00:00:00"/>
    <s v="jueves"/>
    <x v="11"/>
    <n v="76.89"/>
    <n v="10.251076923076925"/>
    <x v="0"/>
    <s v="Normal"/>
  </r>
  <r>
    <n v="196"/>
    <x v="2"/>
    <x v="1"/>
    <x v="2"/>
    <x v="1"/>
    <x v="0"/>
    <x v="2"/>
    <n v="7251.56"/>
    <n v="2321.85"/>
    <n v="42690.38"/>
    <n v="1322.28"/>
    <n v="15304000410"/>
    <n v="56065962600"/>
    <n v="510133347"/>
    <n v="7731572.5995509932"/>
    <n v="271"/>
    <n v="30"/>
    <d v="2025-11-28T00:00:00"/>
    <s v="viernes"/>
    <x v="5"/>
    <n v="71.44"/>
    <n v="4.8792619926199263"/>
    <x v="2"/>
    <s v="Normal"/>
  </r>
  <r>
    <n v="172"/>
    <x v="2"/>
    <x v="0"/>
    <x v="2"/>
    <x v="0"/>
    <x v="1"/>
    <x v="1"/>
    <n v="4257.9399999999996"/>
    <n v="722.29"/>
    <n v="42786.22"/>
    <n v="542.67999999999995"/>
    <n v="29885940540"/>
    <n v="38499657390"/>
    <n v="1149459251.5384614"/>
    <n v="9041850.6108587738"/>
    <n v="290"/>
    <n v="26"/>
    <d v="2025-04-08T00:00:00"/>
    <s v="martes"/>
    <x v="11"/>
    <n v="71.08"/>
    <n v="1.8713103448275861"/>
    <x v="2"/>
    <s v="Normal"/>
  </r>
  <r>
    <n v="177"/>
    <x v="2"/>
    <x v="1"/>
    <x v="2"/>
    <x v="1"/>
    <x v="0"/>
    <x v="0"/>
    <n v="4484.47"/>
    <n v="1972.47"/>
    <n v="42801.51"/>
    <n v="708.07"/>
    <n v="35420777370"/>
    <n v="11823870870"/>
    <n v="1416831094.8"/>
    <n v="2636626.1498014256"/>
    <n v="298"/>
    <n v="25"/>
    <d v="2023-12-04T00:00:00"/>
    <s v="lunes"/>
    <x v="3"/>
    <n v="76.25"/>
    <n v="2.3760738255033558"/>
    <x v="0"/>
    <s v="Normal"/>
  </r>
  <r>
    <n v="314"/>
    <x v="2"/>
    <x v="0"/>
    <x v="2"/>
    <x v="0"/>
    <x v="1"/>
    <x v="2"/>
    <n v="2071.7199999999998"/>
    <n v="3013.94"/>
    <n v="43012.31"/>
    <n v="917.53"/>
    <n v="19730664990"/>
    <n v="58437247500"/>
    <n v="704666606.78571427"/>
    <n v="28207116.550499104"/>
    <n v="106"/>
    <n v="28"/>
    <d v="2024-02-23T00:00:00"/>
    <s v="viernes"/>
    <x v="1"/>
    <n v="85.06"/>
    <n v="8.6559433962264141"/>
    <x v="0"/>
    <s v="Normal"/>
  </r>
  <r>
    <n v="209"/>
    <x v="2"/>
    <x v="3"/>
    <x v="2"/>
    <x v="0"/>
    <x v="1"/>
    <x v="0"/>
    <n v="6352.74"/>
    <n v="2357.9899999999998"/>
    <n v="43100.6"/>
    <n v="612.54999999999995"/>
    <n v="40846400190"/>
    <n v="134494110990"/>
    <n v="1633856007.5999999"/>
    <n v="21171039.738758396"/>
    <n v="121"/>
    <n v="25"/>
    <d v="2023-12-04T00:00:00"/>
    <s v="lunes"/>
    <x v="3"/>
    <n v="85.56"/>
    <n v="5.0623966942148755"/>
    <x v="0"/>
    <s v="Normal"/>
  </r>
  <r>
    <n v="149"/>
    <x v="2"/>
    <x v="2"/>
    <x v="2"/>
    <x v="1"/>
    <x v="2"/>
    <x v="1"/>
    <n v="5835.77"/>
    <n v="1521.22"/>
    <n v="43301.5"/>
    <n v="611.19000000000005"/>
    <n v="17656645050"/>
    <n v="44437911390"/>
    <n v="840792621.42857146"/>
    <n v="7614746.8783039767"/>
    <n v="240"/>
    <n v="21"/>
    <d v="2024-05-13T00:00:00"/>
    <s v="lunes"/>
    <x v="9"/>
    <n v="76"/>
    <n v="2.5466250000000001"/>
    <x v="0"/>
    <s v="Normal"/>
  </r>
  <r>
    <n v="40"/>
    <x v="0"/>
    <x v="2"/>
    <x v="0"/>
    <x v="0"/>
    <x v="0"/>
    <x v="1"/>
    <n v="6187.47"/>
    <n v="3201.17"/>
    <n v="43311.74"/>
    <n v="1093.54"/>
    <n v="31855656060"/>
    <n v="63479351610"/>
    <n v="1327319002.5"/>
    <n v="10259338.891340079"/>
    <n v="64"/>
    <n v="24"/>
    <d v="2025-02-15T00:00:00"/>
    <s v="sábado"/>
    <x v="1"/>
    <n v="88.41"/>
    <n v="17.086562499999999"/>
    <x v="0"/>
    <s v="Normal"/>
  </r>
  <r>
    <n v="255"/>
    <x v="1"/>
    <x v="0"/>
    <x v="1"/>
    <x v="1"/>
    <x v="0"/>
    <x v="2"/>
    <n v="5758.99"/>
    <n v="2640.56"/>
    <n v="43316.85"/>
    <n v="1185.8699999999999"/>
    <n v="12439913040"/>
    <n v="67336689690"/>
    <n v="621995652"/>
    <n v="11692447.753859619"/>
    <n v="201"/>
    <n v="20"/>
    <d v="2023-07-10T00:00:00"/>
    <s v="lunes"/>
    <x v="6"/>
    <n v="86.86"/>
    <n v="5.8998507462686565"/>
    <x v="0"/>
    <s v="Normal"/>
  </r>
  <r>
    <n v="300"/>
    <x v="2"/>
    <x v="0"/>
    <x v="2"/>
    <x v="1"/>
    <x v="2"/>
    <x v="1"/>
    <n v="5413.29"/>
    <n v="838.09"/>
    <n v="43412.97"/>
    <n v="1400.31"/>
    <n v="36020432160"/>
    <n v="34358061870"/>
    <n v="1385401236.9230769"/>
    <n v="6346983.4185864786"/>
    <n v="260"/>
    <n v="26"/>
    <d v="2025-09-29T00:00:00"/>
    <s v="lunes"/>
    <x v="10"/>
    <n v="78.3"/>
    <n v="5.3858076923076919"/>
    <x v="0"/>
    <s v="Normal"/>
  </r>
  <r>
    <n v="101"/>
    <x v="2"/>
    <x v="3"/>
    <x v="2"/>
    <x v="1"/>
    <x v="0"/>
    <x v="2"/>
    <n v="2253.7800000000002"/>
    <n v="2232.1799999999998"/>
    <n v="43428.44"/>
    <n v="926.25"/>
    <n v="30109068630"/>
    <n v="43402564260"/>
    <n v="1254544526.25"/>
    <n v="19257675.664882995"/>
    <n v="148"/>
    <n v="24"/>
    <d v="2024-09-04T00:00:00"/>
    <s v="miércoles"/>
    <x v="10"/>
    <n v="87.94"/>
    <n v="6.2584459459459456"/>
    <x v="0"/>
    <s v="Normal"/>
  </r>
  <r>
    <n v="293"/>
    <x v="0"/>
    <x v="0"/>
    <x v="0"/>
    <x v="0"/>
    <x v="2"/>
    <x v="2"/>
    <n v="4839.01"/>
    <n v="1835.46"/>
    <n v="43620.15"/>
    <n v="1106.3900000000001"/>
    <n v="23762998530"/>
    <n v="56164440690"/>
    <n v="990124938.75"/>
    <n v="11606597.359790536"/>
    <n v="262"/>
    <n v="24"/>
    <d v="2023-05-30T00:00:00"/>
    <s v="martes"/>
    <x v="9"/>
    <n v="84.43"/>
    <n v="4.2228625954198478"/>
    <x v="0"/>
    <s v="Crítica"/>
  </r>
  <r>
    <n v="58"/>
    <x v="1"/>
    <x v="2"/>
    <x v="1"/>
    <x v="1"/>
    <x v="0"/>
    <x v="0"/>
    <n v="7570.36"/>
    <n v="2598.69"/>
    <n v="43713.2"/>
    <n v="1147.95"/>
    <n v="40117448520"/>
    <n v="44381891250"/>
    <n v="1432766018.5714285"/>
    <n v="5862586.6207155278"/>
    <n v="142"/>
    <n v="28"/>
    <d v="2023-09-27T00:00:00"/>
    <s v="miércoles"/>
    <x v="10"/>
    <n v="95.58"/>
    <n v="8.0841549295774655"/>
    <x v="1"/>
    <s v="Normal"/>
  </r>
  <r>
    <n v="248"/>
    <x v="0"/>
    <x v="0"/>
    <x v="0"/>
    <x v="1"/>
    <x v="2"/>
    <x v="2"/>
    <n v="8245.48"/>
    <n v="1403.97"/>
    <n v="43826.17"/>
    <n v="683.45"/>
    <n v="23523990390"/>
    <n v="89829022140"/>
    <n v="784133013"/>
    <n v="10894335.095106654"/>
    <n v="231"/>
    <n v="30"/>
    <d v="2023-10-07T00:00:00"/>
    <s v="sábado"/>
    <x v="2"/>
    <n v="82.12"/>
    <n v="2.9586580086580088"/>
    <x v="0"/>
    <s v="Crítica"/>
  </r>
  <r>
    <n v="287"/>
    <x v="0"/>
    <x v="3"/>
    <x v="0"/>
    <x v="0"/>
    <x v="2"/>
    <x v="2"/>
    <n v="7485.48"/>
    <n v="371.54"/>
    <n v="43959.63"/>
    <n v="892.35"/>
    <n v="1128243330"/>
    <n v="175088781900"/>
    <n v="56412166.5"/>
    <n v="23390454.840571348"/>
    <n v="270"/>
    <n v="20"/>
    <d v="2024-04-15T00:00:00"/>
    <s v="lunes"/>
    <x v="11"/>
    <n v="72.38"/>
    <n v="3.3050000000000002"/>
    <x v="2"/>
    <s v="Crítica"/>
  </r>
  <r>
    <n v="114"/>
    <x v="0"/>
    <x v="1"/>
    <x v="0"/>
    <x v="0"/>
    <x v="1"/>
    <x v="2"/>
    <n v="3719.88"/>
    <n v="1997.02"/>
    <n v="43979.25"/>
    <n v="987.3"/>
    <n v="1538443620"/>
    <n v="40694142690"/>
    <n v="51281454"/>
    <n v="10939638.560921319"/>
    <n v="232"/>
    <n v="30"/>
    <d v="2025-01-12T00:00:00"/>
    <s v="domingo"/>
    <x v="0"/>
    <n v="83.3"/>
    <n v="4.2556034482758616"/>
    <x v="0"/>
    <s v="Crítica"/>
  </r>
  <r>
    <n v="423"/>
    <x v="2"/>
    <x v="2"/>
    <x v="2"/>
    <x v="0"/>
    <x v="0"/>
    <x v="0"/>
    <n v="5474.3"/>
    <n v="2149.52"/>
    <n v="44028.7"/>
    <n v="1180.74"/>
    <n v="27622489680"/>
    <n v="169967370510"/>
    <n v="986517488.57142854"/>
    <n v="31048238.224065177"/>
    <n v="97"/>
    <n v="28"/>
    <d v="2023-09-22T00:00:00"/>
    <s v="viernes"/>
    <x v="10"/>
    <n v="73.040000000000006"/>
    <n v="12.17257731958763"/>
    <x v="2"/>
    <s v="Normal"/>
  </r>
  <r>
    <n v="251"/>
    <x v="1"/>
    <x v="0"/>
    <x v="1"/>
    <x v="1"/>
    <x v="0"/>
    <x v="2"/>
    <n v="7507.28"/>
    <n v="2963.67"/>
    <n v="44270.51"/>
    <n v="769.89"/>
    <n v="23145704010"/>
    <n v="136301521860"/>
    <n v="964404333.75"/>
    <n v="18155912.908536781"/>
    <n v="178"/>
    <n v="24"/>
    <d v="2023-10-29T00:00:00"/>
    <s v="domingo"/>
    <x v="2"/>
    <n v="83.09"/>
    <n v="4.3252247191011239"/>
    <x v="0"/>
    <s v="Normal"/>
  </r>
  <r>
    <n v="471"/>
    <x v="2"/>
    <x v="2"/>
    <x v="2"/>
    <x v="1"/>
    <x v="2"/>
    <x v="1"/>
    <n v="7562.82"/>
    <n v="1116.99"/>
    <n v="44351.32"/>
    <n v="1482.52"/>
    <n v="2685171510"/>
    <n v="120437769510"/>
    <n v="107406860.40000001"/>
    <n v="15924981.621934677"/>
    <n v="154"/>
    <n v="25"/>
    <d v="2023-07-27T00:00:00"/>
    <s v="jueves"/>
    <x v="6"/>
    <n v="75.53"/>
    <n v="9.6267532467532462"/>
    <x v="0"/>
    <s v="Normal"/>
  </r>
  <r>
    <n v="303"/>
    <x v="1"/>
    <x v="0"/>
    <x v="1"/>
    <x v="0"/>
    <x v="1"/>
    <x v="1"/>
    <n v="6570.51"/>
    <n v="2104.35"/>
    <n v="44356.36"/>
    <n v="1281.22"/>
    <n v="16037822340"/>
    <n v="125536429530"/>
    <n v="728991924.5454545"/>
    <n v="19106040.403256368"/>
    <n v="250"/>
    <n v="22"/>
    <d v="2025-09-19T00:00:00"/>
    <s v="viernes"/>
    <x v="10"/>
    <n v="96.6"/>
    <n v="5.1248800000000001"/>
    <x v="1"/>
    <s v="Normal"/>
  </r>
  <r>
    <n v="360"/>
    <x v="1"/>
    <x v="4"/>
    <x v="1"/>
    <x v="0"/>
    <x v="1"/>
    <x v="0"/>
    <n v="6127.61"/>
    <n v="1586.9"/>
    <n v="44362.44"/>
    <n v="1451.93"/>
    <n v="44438415930"/>
    <n v="73056138120"/>
    <n v="2019927996.8181818"/>
    <n v="11922452.329701141"/>
    <n v="135"/>
    <n v="22"/>
    <d v="2025-01-31T00:00:00"/>
    <s v="viernes"/>
    <x v="0"/>
    <n v="75.03"/>
    <n v="10.755037037037038"/>
    <x v="0"/>
    <s v="Normal"/>
  </r>
  <r>
    <n v="434"/>
    <x v="1"/>
    <x v="1"/>
    <x v="1"/>
    <x v="1"/>
    <x v="0"/>
    <x v="0"/>
    <n v="6728.5"/>
    <n v="1594.72"/>
    <n v="44481.03"/>
    <n v="841.59"/>
    <n v="14008785570"/>
    <n v="15344736660"/>
    <n v="500313770.35714287"/>
    <n v="2280558.3205766515"/>
    <n v="285"/>
    <n v="28"/>
    <d v="2025-06-09T00:00:00"/>
    <s v="lunes"/>
    <x v="4"/>
    <n v="75.12"/>
    <n v="2.9529473684210528"/>
    <x v="0"/>
    <s v="Normal"/>
  </r>
  <r>
    <n v="280"/>
    <x v="1"/>
    <x v="1"/>
    <x v="1"/>
    <x v="1"/>
    <x v="1"/>
    <x v="2"/>
    <n v="6700.32"/>
    <n v="3004.36"/>
    <n v="44590.97"/>
    <n v="1109.97"/>
    <n v="35534913300"/>
    <n v="130762313730"/>
    <n v="1184497110"/>
    <n v="19515831.143885665"/>
    <n v="259"/>
    <n v="30"/>
    <d v="2024-11-15T00:00:00"/>
    <s v="viernes"/>
    <x v="5"/>
    <n v="92.57"/>
    <n v="4.2855984555984561"/>
    <x v="1"/>
    <s v="Normal"/>
  </r>
  <r>
    <n v="281"/>
    <x v="2"/>
    <x v="2"/>
    <x v="2"/>
    <x v="1"/>
    <x v="1"/>
    <x v="2"/>
    <n v="3084.17"/>
    <n v="2257.29"/>
    <n v="44602.62"/>
    <n v="745.93"/>
    <n v="44263829070"/>
    <n v="177092854920"/>
    <n v="1475460969"/>
    <n v="57419939.536406875"/>
    <n v="194"/>
    <n v="30"/>
    <d v="2024-10-15T00:00:00"/>
    <s v="martes"/>
    <x v="2"/>
    <n v="74.95"/>
    <n v="3.8449999999999998"/>
    <x v="2"/>
    <s v="Normal"/>
  </r>
  <r>
    <n v="91"/>
    <x v="0"/>
    <x v="1"/>
    <x v="0"/>
    <x v="1"/>
    <x v="2"/>
    <x v="1"/>
    <n v="4807.68"/>
    <n v="1740.48"/>
    <n v="44603.9"/>
    <n v="983.62"/>
    <n v="1147470570"/>
    <n v="329559367620"/>
    <n v="45898822.799999997"/>
    <n v="68548523.949181303"/>
    <n v="145"/>
    <n v="25"/>
    <d v="2025-07-18T00:00:00"/>
    <s v="viernes"/>
    <x v="6"/>
    <n v="90.36"/>
    <n v="6.783586206896552"/>
    <x v="1"/>
    <s v="Normal"/>
  </r>
  <r>
    <n v="489"/>
    <x v="0"/>
    <x v="3"/>
    <x v="0"/>
    <x v="0"/>
    <x v="0"/>
    <x v="1"/>
    <n v="2981.95"/>
    <n v="1515.11"/>
    <n v="44623.59"/>
    <n v="1488.44"/>
    <n v="6084841500"/>
    <n v="49500680580"/>
    <n v="253535062.5"/>
    <n v="16600104.153322492"/>
    <n v="295"/>
    <n v="24"/>
    <d v="2023-03-21T00:00:00"/>
    <s v="martes"/>
    <x v="7"/>
    <n v="93.31"/>
    <n v="5.0455593220338981"/>
    <x v="1"/>
    <s v="Normal"/>
  </r>
  <r>
    <n v="102"/>
    <x v="2"/>
    <x v="0"/>
    <x v="2"/>
    <x v="1"/>
    <x v="0"/>
    <x v="2"/>
    <n v="9751.06"/>
    <n v="2820.59"/>
    <n v="44626.43"/>
    <n v="815.73"/>
    <n v="38786406480"/>
    <n v="1420762663500"/>
    <n v="1551456259.2"/>
    <n v="145703406.96293533"/>
    <n v="221"/>
    <n v="25"/>
    <d v="2024-10-04T00:00:00"/>
    <s v="viernes"/>
    <x v="2"/>
    <n v="72.37"/>
    <n v="3.6910859728506789"/>
    <x v="2"/>
    <s v="Normal"/>
  </r>
  <r>
    <n v="221"/>
    <x v="1"/>
    <x v="2"/>
    <x v="1"/>
    <x v="1"/>
    <x v="1"/>
    <x v="0"/>
    <n v="5093.75"/>
    <n v="2411.94"/>
    <n v="44632.88"/>
    <n v="1256.82"/>
    <n v="34188237450"/>
    <n v="175910033160"/>
    <n v="1628011307.1428571"/>
    <n v="34534485.037546009"/>
    <n v="108"/>
    <n v="21"/>
    <d v="2025-08-12T00:00:00"/>
    <s v="martes"/>
    <x v="8"/>
    <n v="97.1"/>
    <n v="11.637222222222222"/>
    <x v="1"/>
    <s v="Normal"/>
  </r>
  <r>
    <n v="277"/>
    <x v="2"/>
    <x v="4"/>
    <x v="2"/>
    <x v="0"/>
    <x v="1"/>
    <x v="1"/>
    <n v="7264.59"/>
    <n v="2307.04"/>
    <n v="44730.09"/>
    <n v="988.3"/>
    <n v="24899424210"/>
    <n v="64141515630"/>
    <n v="1185686867.1428571"/>
    <n v="8829337.3239233047"/>
    <n v="168"/>
    <n v="21"/>
    <d v="2024-10-01T00:00:00"/>
    <s v="martes"/>
    <x v="2"/>
    <n v="98.37"/>
    <n v="5.8827380952380945"/>
    <x v="1"/>
    <s v="Normal"/>
  </r>
  <r>
    <n v="164"/>
    <x v="1"/>
    <x v="0"/>
    <x v="1"/>
    <x v="1"/>
    <x v="2"/>
    <x v="0"/>
    <n v="6690.13"/>
    <n v="1390.87"/>
    <n v="44826.239999999998"/>
    <n v="1631.7"/>
    <n v="30781567080"/>
    <n v="19557593640"/>
    <n v="1099341681.4285715"/>
    <n v="2923350.3145678784"/>
    <n v="236"/>
    <n v="28"/>
    <d v="2023-05-24T00:00:00"/>
    <s v="miércoles"/>
    <x v="9"/>
    <n v="88.36"/>
    <n v="6.9139830508474578"/>
    <x v="0"/>
    <s v="Normal"/>
  </r>
  <r>
    <n v="4"/>
    <x v="2"/>
    <x v="4"/>
    <x v="2"/>
    <x v="1"/>
    <x v="1"/>
    <x v="1"/>
    <n v="5217.84"/>
    <n v="1286.1400000000001"/>
    <n v="45011.74"/>
    <n v="1040.19"/>
    <n v="15038432460"/>
    <n v="125419969710"/>
    <n v="601537298.39999998"/>
    <n v="24036760.366358493"/>
    <n v="168"/>
    <n v="25"/>
    <d v="2024-04-11T00:00:00"/>
    <s v="jueves"/>
    <x v="11"/>
    <n v="88.28"/>
    <n v="6.1916071428571433"/>
    <x v="0"/>
    <s v="Normal"/>
  </r>
  <r>
    <n v="285"/>
    <x v="0"/>
    <x v="0"/>
    <x v="0"/>
    <x v="1"/>
    <x v="0"/>
    <x v="1"/>
    <n v="6123.95"/>
    <n v="1585.21"/>
    <n v="45107.87"/>
    <n v="1159.06"/>
    <n v="44602336620"/>
    <n v="179361373590"/>
    <n v="1651938393.3333333"/>
    <n v="29288510.453220554"/>
    <n v="145"/>
    <n v="27"/>
    <d v="2024-04-08T00:00:00"/>
    <s v="lunes"/>
    <x v="11"/>
    <n v="95.44"/>
    <n v="7.9935172413793101"/>
    <x v="1"/>
    <s v="Normal"/>
  </r>
  <r>
    <n v="394"/>
    <x v="0"/>
    <x v="0"/>
    <x v="0"/>
    <x v="1"/>
    <x v="1"/>
    <x v="1"/>
    <n v="7430.64"/>
    <n v="2053.8000000000002"/>
    <n v="45158.32"/>
    <n v="1034.3"/>
    <n v="25475749920"/>
    <n v="1325875420380"/>
    <n v="1213130948.5714285"/>
    <n v="178433542.78770065"/>
    <n v="164"/>
    <n v="21"/>
    <d v="2024-02-02T00:00:00"/>
    <s v="viernes"/>
    <x v="1"/>
    <n v="70.459999999999994"/>
    <n v="6.3067073170731707"/>
    <x v="2"/>
    <s v="Normal"/>
  </r>
  <r>
    <n v="145"/>
    <x v="0"/>
    <x v="3"/>
    <x v="0"/>
    <x v="1"/>
    <x v="2"/>
    <x v="0"/>
    <n v="4930.37"/>
    <n v="1633.47"/>
    <n v="45219.96"/>
    <n v="505.66"/>
    <n v="33990113970"/>
    <n v="1088657312580"/>
    <n v="1258893110"/>
    <n v="220806412.61811996"/>
    <n v="131"/>
    <n v="27"/>
    <d v="2023-01-02T00:00:00"/>
    <s v="lunes"/>
    <x v="0"/>
    <n v="93.22"/>
    <n v="3.8600000000000003"/>
    <x v="1"/>
    <s v="Normal"/>
  </r>
  <r>
    <n v="195"/>
    <x v="2"/>
    <x v="3"/>
    <x v="2"/>
    <x v="1"/>
    <x v="1"/>
    <x v="1"/>
    <n v="7457.17"/>
    <n v="1991.97"/>
    <n v="45289.74"/>
    <n v="821.08"/>
    <n v="26313102450"/>
    <n v="105629758560"/>
    <n v="907348360.34482753"/>
    <n v="14164858.593809716"/>
    <n v="102"/>
    <n v="29"/>
    <d v="2025-03-26T00:00:00"/>
    <s v="miércoles"/>
    <x v="7"/>
    <n v="70.42"/>
    <n v="8.0498039215686283"/>
    <x v="2"/>
    <s v="Normal"/>
  </r>
  <r>
    <n v="476"/>
    <x v="1"/>
    <x v="4"/>
    <x v="1"/>
    <x v="0"/>
    <x v="1"/>
    <x v="0"/>
    <n v="4589.8"/>
    <n v="1468.45"/>
    <n v="45310.9"/>
    <n v="1670.89"/>
    <n v="25543497870"/>
    <n v="61620600690"/>
    <n v="946055476.66666663"/>
    <n v="13425552.461980913"/>
    <n v="211"/>
    <n v="27"/>
    <d v="2024-01-22T00:00:00"/>
    <s v="lunes"/>
    <x v="0"/>
    <n v="79.89"/>
    <n v="7.9189099526066355"/>
    <x v="0"/>
    <s v="Normal"/>
  </r>
  <r>
    <n v="148"/>
    <x v="2"/>
    <x v="1"/>
    <x v="2"/>
    <x v="1"/>
    <x v="2"/>
    <x v="2"/>
    <n v="6661.08"/>
    <n v="678.1"/>
    <n v="45375.41"/>
    <n v="697.91"/>
    <n v="21916648530"/>
    <n v="11067326010"/>
    <n v="755746501.03448272"/>
    <n v="1661491.2311517051"/>
    <n v="250"/>
    <n v="29"/>
    <d v="2025-05-04T00:00:00"/>
    <s v="domingo"/>
    <x v="9"/>
    <n v="71.209999999999994"/>
    <n v="2.7916399999999997"/>
    <x v="2"/>
    <s v="Crítica"/>
  </r>
  <r>
    <n v="27"/>
    <x v="0"/>
    <x v="1"/>
    <x v="0"/>
    <x v="1"/>
    <x v="1"/>
    <x v="1"/>
    <n v="4575.03"/>
    <n v="2786.04"/>
    <n v="45406.7"/>
    <n v="893.95"/>
    <n v="6544361880"/>
    <n v="53757409860"/>
    <n v="242383773.33333334"/>
    <n v="11750176.470973961"/>
    <n v="147"/>
    <n v="27"/>
    <d v="2023-05-27T00:00:00"/>
    <s v="sábado"/>
    <x v="9"/>
    <n v="77.069999999999993"/>
    <n v="6.0812925170068031"/>
    <x v="0"/>
    <s v="Normal"/>
  </r>
  <r>
    <n v="56"/>
    <x v="0"/>
    <x v="0"/>
    <x v="0"/>
    <x v="0"/>
    <x v="1"/>
    <x v="1"/>
    <n v="5727.76"/>
    <n v="1930.63"/>
    <n v="45529.17"/>
    <n v="1562.85"/>
    <n v="22930165530"/>
    <n v="377002989180"/>
    <n v="917206621.20000005"/>
    <n v="65820318.794781901"/>
    <n v="241"/>
    <n v="25"/>
    <d v="2023-07-21T00:00:00"/>
    <s v="viernes"/>
    <x v="6"/>
    <n v="75.010000000000005"/>
    <n v="6.4848547717842324"/>
    <x v="0"/>
    <s v="Normal"/>
  </r>
  <r>
    <n v="254"/>
    <x v="1"/>
    <x v="1"/>
    <x v="1"/>
    <x v="0"/>
    <x v="1"/>
    <x v="1"/>
    <n v="6564.15"/>
    <n v="2231.5300000000002"/>
    <n v="45558.63"/>
    <n v="874.99"/>
    <n v="20918732850"/>
    <n v="29020374270"/>
    <n v="804566648.07692313"/>
    <n v="4421040.693768424"/>
    <n v="66"/>
    <n v="26"/>
    <d v="2025-09-19T00:00:00"/>
    <s v="viernes"/>
    <x v="10"/>
    <n v="94.74"/>
    <n v="13.257424242424243"/>
    <x v="1"/>
    <s v="Normal"/>
  </r>
  <r>
    <n v="126"/>
    <x v="2"/>
    <x v="3"/>
    <x v="2"/>
    <x v="1"/>
    <x v="1"/>
    <x v="2"/>
    <n v="5820.17"/>
    <n v="1899.97"/>
    <n v="45566.82"/>
    <n v="1035.77"/>
    <n v="1367006338738.8899"/>
    <n v="88406019720"/>
    <n v="62136651760.858635"/>
    <n v="15189594.070276298"/>
    <n v="253"/>
    <n v="22"/>
    <d v="2024-07-10T00:00:00"/>
    <s v="miércoles"/>
    <x v="6"/>
    <n v="80.400000000000006"/>
    <n v="4.0939525691699608"/>
    <x v="0"/>
    <s v="Crítica"/>
  </r>
  <r>
    <n v="82"/>
    <x v="0"/>
    <x v="0"/>
    <x v="0"/>
    <x v="0"/>
    <x v="1"/>
    <x v="1"/>
    <n v="4587.3100000000004"/>
    <n v="2912.8"/>
    <n v="45671.75"/>
    <n v="831.72"/>
    <n v="37268891550"/>
    <n v="132875394840"/>
    <n v="1694040525"/>
    <n v="28965863.401426978"/>
    <n v="169"/>
    <n v="22"/>
    <d v="2025-01-19T00:00:00"/>
    <s v="domingo"/>
    <x v="0"/>
    <n v="86.77"/>
    <n v="4.9214201183431951"/>
    <x v="0"/>
    <s v="Normal"/>
  </r>
  <r>
    <n v="189"/>
    <x v="0"/>
    <x v="0"/>
    <x v="0"/>
    <x v="0"/>
    <x v="1"/>
    <x v="0"/>
    <n v="4371.62"/>
    <n v="2176.71"/>
    <n v="45679.62"/>
    <n v="1099.0899999999999"/>
    <n v="1404285164938.8899"/>
    <n v="52999466130"/>
    <n v="48423626377.203102"/>
    <n v="12123529.979732914"/>
    <n v="236"/>
    <n v="29"/>
    <d v="2025-06-15T00:00:00"/>
    <s v="domingo"/>
    <x v="4"/>
    <n v="81.59"/>
    <n v="4.6571610169491526"/>
    <x v="0"/>
    <s v="Normal"/>
  </r>
  <r>
    <n v="211"/>
    <x v="1"/>
    <x v="1"/>
    <x v="1"/>
    <x v="0"/>
    <x v="1"/>
    <x v="1"/>
    <n v="5387"/>
    <n v="1786.81"/>
    <n v="45714.71"/>
    <n v="500.62"/>
    <n v="69950446946856.297"/>
    <n v="117077352120"/>
    <n v="3041323780298.1001"/>
    <n v="21733312.069797661"/>
    <n v="234"/>
    <n v="23"/>
    <d v="2025-08-14T00:00:00"/>
    <s v="jueves"/>
    <x v="8"/>
    <n v="76.180000000000007"/>
    <n v="2.1394017094017093"/>
    <x v="0"/>
    <s v="Normal"/>
  </r>
  <r>
    <n v="210"/>
    <x v="2"/>
    <x v="3"/>
    <x v="2"/>
    <x v="1"/>
    <x v="0"/>
    <x v="1"/>
    <n v="6912.02"/>
    <n v="2461.7199999999998"/>
    <n v="45770.66"/>
    <n v="1128.1300000000001"/>
    <n v="4429770660"/>
    <n v="45577799280"/>
    <n v="221488533"/>
    <n v="6593991.2326642573"/>
    <n v="111"/>
    <n v="20"/>
    <d v="2024-06-08T00:00:00"/>
    <s v="sábado"/>
    <x v="4"/>
    <n v="94.94"/>
    <n v="10.163333333333334"/>
    <x v="1"/>
    <s v="Normal"/>
  </r>
  <r>
    <n v="440"/>
    <x v="1"/>
    <x v="0"/>
    <x v="1"/>
    <x v="0"/>
    <x v="0"/>
    <x v="2"/>
    <n v="6741.02"/>
    <n v="2259.64"/>
    <n v="45770.91"/>
    <n v="1001.44"/>
    <n v="1387340243938.8899"/>
    <n v="121967882730"/>
    <n v="49547865854.96035"/>
    <n v="18093386.865785889"/>
    <n v="125"/>
    <n v="28"/>
    <d v="2024-02-02T00:00:00"/>
    <s v="viernes"/>
    <x v="1"/>
    <n v="70.11"/>
    <n v="8.0115200000000009"/>
    <x v="2"/>
    <s v="Normal"/>
  </r>
  <r>
    <n v="208"/>
    <x v="0"/>
    <x v="1"/>
    <x v="0"/>
    <x v="1"/>
    <x v="0"/>
    <x v="1"/>
    <n v="4891.57"/>
    <n v="1276.9100000000001"/>
    <n v="45794.65"/>
    <n v="1000.13"/>
    <n v="21683129040"/>
    <n v="90666139140"/>
    <n v="985596774.5454545"/>
    <n v="18535181.780082878"/>
    <n v="296"/>
    <n v="22"/>
    <d v="2025-05-27T00:00:00"/>
    <s v="martes"/>
    <x v="9"/>
    <n v="93.76"/>
    <n v="3.3788175675675673"/>
    <x v="1"/>
    <s v="Normal"/>
  </r>
  <r>
    <n v="472"/>
    <x v="0"/>
    <x v="4"/>
    <x v="0"/>
    <x v="1"/>
    <x v="1"/>
    <x v="1"/>
    <n v="4381.21"/>
    <n v="1842.7"/>
    <n v="45800.65"/>
    <n v="1106.49"/>
    <n v="5804275400000"/>
    <n v="63180756990"/>
    <n v="252359800000"/>
    <n v="14420846.52185127"/>
    <n v="230"/>
    <n v="23"/>
    <d v="2024-03-31T00:00:00"/>
    <s v="domingo"/>
    <x v="7"/>
    <n v="83.4"/>
    <n v="4.8108260869565216"/>
    <x v="0"/>
    <s v="Normal"/>
  </r>
  <r>
    <n v="470"/>
    <x v="1"/>
    <x v="3"/>
    <x v="1"/>
    <x v="1"/>
    <x v="2"/>
    <x v="2"/>
    <n v="7844.74"/>
    <n v="2319.2199999999998"/>
    <n v="45854.38"/>
    <n v="854.09"/>
    <n v="33089458680"/>
    <n v="17989787970"/>
    <n v="1225535506.6666667"/>
    <n v="2293229.3447583988"/>
    <n v="253"/>
    <n v="27"/>
    <d v="2025-12-17T00:00:00"/>
    <s v="miércoles"/>
    <x v="3"/>
    <n v="85.07"/>
    <n v="3.3758498023715418"/>
    <x v="0"/>
    <s v="Normal"/>
  </r>
  <r>
    <n v="456"/>
    <x v="2"/>
    <x v="2"/>
    <x v="2"/>
    <x v="1"/>
    <x v="2"/>
    <x v="2"/>
    <n v="4120.91"/>
    <n v="1391.76"/>
    <n v="45874.52"/>
    <n v="1405.34"/>
    <n v="44147671290"/>
    <n v="142978562820"/>
    <n v="1576702546.0714285"/>
    <n v="34695871.256591387"/>
    <n v="241"/>
    <n v="28"/>
    <d v="2025-02-14T00:00:00"/>
    <s v="viernes"/>
    <x v="1"/>
    <n v="70.31"/>
    <n v="5.8312863070539418"/>
    <x v="2"/>
    <s v="Crítica"/>
  </r>
  <r>
    <n v="425"/>
    <x v="0"/>
    <x v="1"/>
    <x v="0"/>
    <x v="1"/>
    <x v="2"/>
    <x v="2"/>
    <n v="5137.1499999999996"/>
    <n v="2268.42"/>
    <n v="45904.06"/>
    <n v="996.05"/>
    <n v="16320652200"/>
    <n v="168286027860"/>
    <n v="562781110.34482753"/>
    <n v="32758636.181540351"/>
    <n v="146"/>
    <n v="29"/>
    <d v="2024-02-07T00:00:00"/>
    <s v="miércoles"/>
    <x v="1"/>
    <n v="85.09"/>
    <n v="6.8222602739726028"/>
    <x v="0"/>
    <s v="Normal"/>
  </r>
  <r>
    <n v="418"/>
    <x v="1"/>
    <x v="2"/>
    <x v="1"/>
    <x v="0"/>
    <x v="1"/>
    <x v="2"/>
    <n v="5310.27"/>
    <n v="2067.67"/>
    <n v="45940.3"/>
    <n v="783.07"/>
    <n v="1346672433538.8899"/>
    <n v="66441216960"/>
    <n v="46436980466.858269"/>
    <n v="12511834.042336829"/>
    <n v="233"/>
    <n v="29"/>
    <d v="2023-06-09T00:00:00"/>
    <s v="viernes"/>
    <x v="4"/>
    <n v="89.77"/>
    <n v="3.3608154506437771"/>
    <x v="0"/>
    <s v="Normal"/>
  </r>
  <r>
    <n v="207"/>
    <x v="1"/>
    <x v="4"/>
    <x v="1"/>
    <x v="1"/>
    <x v="1"/>
    <x v="1"/>
    <n v="5492.74"/>
    <n v="2123.75"/>
    <n v="45948.19"/>
    <n v="1449.71"/>
    <n v="11934421470"/>
    <n v="14642290890"/>
    <n v="477376858.80000001"/>
    <n v="2665753.5018952289"/>
    <n v="249"/>
    <n v="25"/>
    <d v="2025-07-02T00:00:00"/>
    <s v="miércoles"/>
    <x v="6"/>
    <n v="79.38"/>
    <n v="5.8221285140562253"/>
    <x v="0"/>
    <s v="Normal"/>
  </r>
  <r>
    <n v="184"/>
    <x v="2"/>
    <x v="2"/>
    <x v="2"/>
    <x v="0"/>
    <x v="0"/>
    <x v="1"/>
    <n v="4568.07"/>
    <n v="2413.21"/>
    <n v="45960.24"/>
    <n v="900.05"/>
    <n v="34372776420"/>
    <n v="124198419960"/>
    <n v="1636798877.1428571"/>
    <n v="27188379.328688048"/>
    <n v="88"/>
    <n v="21"/>
    <d v="2023-12-12T00:00:00"/>
    <s v="martes"/>
    <x v="3"/>
    <n v="75.3"/>
    <n v="10.227840909090908"/>
    <x v="0"/>
    <s v="Normal"/>
  </r>
  <r>
    <n v="473"/>
    <x v="1"/>
    <x v="2"/>
    <x v="1"/>
    <x v="1"/>
    <x v="1"/>
    <x v="1"/>
    <n v="5584.94"/>
    <n v="979.88"/>
    <n v="45990.17"/>
    <n v="893.49"/>
    <n v="4670667090"/>
    <n v="128424781170"/>
    <n v="203072482.17391303"/>
    <n v="22994836.322323967"/>
    <n v="93"/>
    <n v="23"/>
    <d v="2023-12-04T00:00:00"/>
    <s v="lunes"/>
    <x v="3"/>
    <n v="96.19"/>
    <n v="9.6074193548387097"/>
    <x v="1"/>
    <s v="Normal"/>
  </r>
  <r>
    <n v="229"/>
    <x v="0"/>
    <x v="1"/>
    <x v="0"/>
    <x v="0"/>
    <x v="0"/>
    <x v="1"/>
    <n v="7552.54"/>
    <n v="2380.54"/>
    <n v="46008.14"/>
    <n v="918.56"/>
    <n v="7554207240"/>
    <n v="143074305360"/>
    <n v="314758635"/>
    <n v="18943865.952381585"/>
    <n v="218"/>
    <n v="24"/>
    <d v="2023-01-27T00:00:00"/>
    <s v="viernes"/>
    <x v="0"/>
    <n v="78.61"/>
    <n v="4.2135779816513761"/>
    <x v="0"/>
    <s v="Normal"/>
  </r>
  <r>
    <n v="206"/>
    <x v="1"/>
    <x v="1"/>
    <x v="1"/>
    <x v="0"/>
    <x v="2"/>
    <x v="2"/>
    <n v="4422.41"/>
    <n v="2610.52"/>
    <n v="46062.62"/>
    <n v="1418.99"/>
    <n v="1336505480938.8899"/>
    <n v="30631971960"/>
    <n v="49500202997.736664"/>
    <n v="6926533.7135181949"/>
    <n v="215"/>
    <n v="27"/>
    <d v="2025-06-15T00:00:00"/>
    <s v="domingo"/>
    <x v="4"/>
    <n v="76.099999999999994"/>
    <n v="6.5999534883720932"/>
    <x v="0"/>
    <s v="Normal"/>
  </r>
  <r>
    <n v="168"/>
    <x v="2"/>
    <x v="1"/>
    <x v="2"/>
    <x v="1"/>
    <x v="2"/>
    <x v="0"/>
    <n v="4927.96"/>
    <n v="2218.56"/>
    <n v="46075.839999999997"/>
    <n v="1089.3599999999999"/>
    <n v="14076802800"/>
    <n v="46077178140"/>
    <n v="670323942.85714281"/>
    <n v="9350152.6270505451"/>
    <n v="281"/>
    <n v="21"/>
    <d v="2024-10-21T00:00:00"/>
    <s v="lunes"/>
    <x v="2"/>
    <n v="73.36"/>
    <n v="3.8767259786476864"/>
    <x v="2"/>
    <s v="Normal"/>
  </r>
  <r>
    <n v="32"/>
    <x v="0"/>
    <x v="3"/>
    <x v="0"/>
    <x v="0"/>
    <x v="1"/>
    <x v="0"/>
    <n v="8908.9699999999993"/>
    <n v="2841.24"/>
    <n v="46091.29"/>
    <n v="1039.93"/>
    <n v="33615641070"/>
    <n v="74886754050"/>
    <n v="1680782053.5"/>
    <n v="8405770.1451458484"/>
    <n v="83"/>
    <n v="20"/>
    <d v="2024-12-03T00:00:00"/>
    <s v="martes"/>
    <x v="3"/>
    <n v="98.53"/>
    <n v="12.529277108433735"/>
    <x v="1"/>
    <s v="Normal"/>
  </r>
  <r>
    <n v="10"/>
    <x v="0"/>
    <x v="4"/>
    <x v="0"/>
    <x v="0"/>
    <x v="1"/>
    <x v="2"/>
    <n v="3006.28"/>
    <n v="1830.69"/>
    <n v="46137.04"/>
    <n v="933.96"/>
    <n v="18079485660"/>
    <n v="51190440390"/>
    <n v="669610580"/>
    <n v="17027835.194991816"/>
    <n v="271"/>
    <n v="27"/>
    <d v="2023-05-24T00:00:00"/>
    <s v="miércoles"/>
    <x v="9"/>
    <n v="76.180000000000007"/>
    <n v="3.4463468634686349"/>
    <x v="0"/>
    <s v="Crítica"/>
  </r>
  <r>
    <n v="142"/>
    <x v="2"/>
    <x v="4"/>
    <x v="2"/>
    <x v="0"/>
    <x v="0"/>
    <x v="2"/>
    <n v="3676.96"/>
    <n v="2111.46"/>
    <n v="46192.54"/>
    <n v="1640.97"/>
    <n v="16195813560"/>
    <n v="43926587460"/>
    <n v="558476329.65517247"/>
    <n v="11946441.478830338"/>
    <n v="267"/>
    <n v="29"/>
    <d v="2025-08-09T00:00:00"/>
    <s v="sábado"/>
    <x v="8"/>
    <n v="76.400000000000006"/>
    <n v="6.1459550561797753"/>
    <x v="0"/>
    <s v="Normal"/>
  </r>
  <r>
    <n v="139"/>
    <x v="1"/>
    <x v="2"/>
    <x v="1"/>
    <x v="1"/>
    <x v="2"/>
    <x v="1"/>
    <n v="5978.8"/>
    <n v="2655.84"/>
    <n v="46257.18"/>
    <n v="728.53"/>
    <n v="31438600650"/>
    <n v="127627922430"/>
    <n v="1429027302.2727273"/>
    <n v="21346745.57269017"/>
    <n v="186"/>
    <n v="22"/>
    <d v="2024-10-25T00:00:00"/>
    <s v="viernes"/>
    <x v="2"/>
    <n v="84.77"/>
    <n v="3.916827956989247"/>
    <x v="0"/>
    <s v="Normal"/>
  </r>
  <r>
    <n v="171"/>
    <x v="1"/>
    <x v="0"/>
    <x v="1"/>
    <x v="0"/>
    <x v="2"/>
    <x v="0"/>
    <n v="6251.13"/>
    <n v="2516.12"/>
    <n v="46275.57"/>
    <n v="1079.1600000000001"/>
    <n v="33472734480"/>
    <n v="72175868730"/>
    <n v="1394697270"/>
    <n v="11546051.470694099"/>
    <n v="130"/>
    <n v="24"/>
    <d v="2025-08-30T00:00:00"/>
    <s v="sábado"/>
    <x v="8"/>
    <n v="85.09"/>
    <n v="8.3012307692307701"/>
    <x v="0"/>
    <s v="Normal"/>
  </r>
  <r>
    <n v="321"/>
    <x v="1"/>
    <x v="2"/>
    <x v="1"/>
    <x v="1"/>
    <x v="1"/>
    <x v="2"/>
    <n v="2544.91"/>
    <n v="2267.6"/>
    <n v="46350.23"/>
    <n v="988.96"/>
    <n v="28346981310"/>
    <n v="82485369090"/>
    <n v="1133879252.4000001"/>
    <n v="32411900.259734139"/>
    <n v="276"/>
    <n v="25"/>
    <d v="2023-04-30T00:00:00"/>
    <s v="domingo"/>
    <x v="11"/>
    <n v="71"/>
    <n v="3.5831884057971015"/>
    <x v="2"/>
    <s v="Normal"/>
  </r>
  <r>
    <n v="183"/>
    <x v="0"/>
    <x v="0"/>
    <x v="0"/>
    <x v="0"/>
    <x v="1"/>
    <x v="0"/>
    <n v="5530.64"/>
    <n v="3277.37"/>
    <n v="46434.69"/>
    <n v="1230.45"/>
    <n v="3644398530"/>
    <n v="128535405840"/>
    <n v="125668914.8275862"/>
    <n v="23240602.50531584"/>
    <n v="181"/>
    <n v="29"/>
    <d v="2023-05-24T00:00:00"/>
    <s v="miércoles"/>
    <x v="9"/>
    <n v="97.29"/>
    <n v="6.7980662983425413"/>
    <x v="1"/>
    <s v="Normal"/>
  </r>
  <r>
    <n v="11"/>
    <x v="2"/>
    <x v="3"/>
    <x v="2"/>
    <x v="0"/>
    <x v="2"/>
    <x v="1"/>
    <n v="7482.47"/>
    <n v="2519.19"/>
    <n v="46709.87"/>
    <n v="821.86"/>
    <n v="7791839820"/>
    <n v="174563041050"/>
    <n v="278279993.5714286"/>
    <n v="23329601.194525335"/>
    <n v="159"/>
    <n v="28"/>
    <d v="2025-03-16T00:00:00"/>
    <s v="domingo"/>
    <x v="7"/>
    <n v="92.67"/>
    <n v="5.1689308176100628"/>
    <x v="1"/>
    <s v="Normal"/>
  </r>
  <r>
    <n v="213"/>
    <x v="1"/>
    <x v="1"/>
    <x v="1"/>
    <x v="0"/>
    <x v="2"/>
    <x v="0"/>
    <n v="4069.09"/>
    <n v="2147.0100000000002"/>
    <n v="46727.86"/>
    <n v="858.05"/>
    <n v="25473538710"/>
    <n v="126039277800"/>
    <n v="979751488.84615386"/>
    <n v="30974807.094460923"/>
    <n v="255"/>
    <n v="26"/>
    <d v="2025-03-11T00:00:00"/>
    <s v="martes"/>
    <x v="7"/>
    <n v="72.430000000000007"/>
    <n v="3.3649019607843136"/>
    <x v="2"/>
    <s v="Normal"/>
  </r>
  <r>
    <n v="388"/>
    <x v="2"/>
    <x v="2"/>
    <x v="2"/>
    <x v="1"/>
    <x v="2"/>
    <x v="1"/>
    <n v="7652.45"/>
    <n v="1328.83"/>
    <n v="46806.44"/>
    <n v="350.09"/>
    <n v="509708380000"/>
    <n v="178953126120"/>
    <n v="25485419000"/>
    <n v="23385076.167763267"/>
    <n v="279"/>
    <n v="20"/>
    <d v="2024-08-27T00:00:00"/>
    <s v="martes"/>
    <x v="8"/>
    <n v="90.97"/>
    <n v="1.2548028673835125"/>
    <x v="1"/>
    <s v="Normal"/>
  </r>
  <r>
    <n v="463"/>
    <x v="0"/>
    <x v="4"/>
    <x v="0"/>
    <x v="0"/>
    <x v="1"/>
    <x v="1"/>
    <n v="5838.11"/>
    <n v="2506.0500000000002"/>
    <n v="46870.76"/>
    <n v="1196.3499999999999"/>
    <n v="22119913620"/>
    <n v="147439751490"/>
    <n v="762755642.06896555"/>
    <n v="25254705.973337263"/>
    <n v="244"/>
    <n v="29"/>
    <d v="2023-06-16T00:00:00"/>
    <s v="viernes"/>
    <x v="4"/>
    <n v="81.27"/>
    <n v="4.9030737704918028"/>
    <x v="0"/>
    <s v="Normal"/>
  </r>
  <r>
    <n v="354"/>
    <x v="0"/>
    <x v="3"/>
    <x v="0"/>
    <x v="0"/>
    <x v="0"/>
    <x v="1"/>
    <n v="4224.6499999999996"/>
    <n v="1782.37"/>
    <n v="46999.3"/>
    <n v="337.19"/>
    <n v="27100858770"/>
    <n v="103884380100"/>
    <n v="1290517084.2857144"/>
    <n v="24590056.004639439"/>
    <n v="262"/>
    <n v="21"/>
    <d v="2024-02-01T00:00:00"/>
    <s v="jueves"/>
    <x v="1"/>
    <n v="72.760000000000005"/>
    <n v="1.2869847328244275"/>
    <x v="2"/>
    <s v="Normal"/>
  </r>
  <r>
    <n v="226"/>
    <x v="1"/>
    <x v="0"/>
    <x v="1"/>
    <x v="1"/>
    <x v="0"/>
    <x v="2"/>
    <n v="3531.85"/>
    <n v="2191.6"/>
    <n v="47009.89"/>
    <n v="1233.93"/>
    <n v="36879429600"/>
    <n v="68752709010"/>
    <n v="1418439600"/>
    <n v="19466486.122004051"/>
    <n v="101"/>
    <n v="26"/>
    <d v="2023-01-15T00:00:00"/>
    <s v="domingo"/>
    <x v="0"/>
    <n v="89.41"/>
    <n v="12.217128712871288"/>
    <x v="0"/>
    <s v="Normal"/>
  </r>
  <r>
    <n v="212"/>
    <x v="2"/>
    <x v="3"/>
    <x v="2"/>
    <x v="1"/>
    <x v="2"/>
    <x v="1"/>
    <n v="5703.68"/>
    <n v="2366.15"/>
    <n v="47063.79"/>
    <n v="1487.84"/>
    <n v="4356183690"/>
    <n v="52792854480"/>
    <n v="174247347.59999999"/>
    <n v="9255928.537365349"/>
    <n v="55"/>
    <n v="25"/>
    <d v="2023-06-10T00:00:00"/>
    <s v="sábado"/>
    <x v="4"/>
    <n v="87.63"/>
    <n v="27.051636363636362"/>
    <x v="0"/>
    <s v="Normal"/>
  </r>
  <r>
    <n v="244"/>
    <x v="2"/>
    <x v="1"/>
    <x v="2"/>
    <x v="0"/>
    <x v="0"/>
    <x v="1"/>
    <n v="3178.22"/>
    <n v="2645.19"/>
    <n v="47088.45"/>
    <n v="1031.8499999999999"/>
    <n v="26330682690"/>
    <n v="132768362970"/>
    <n v="1144812290.8695652"/>
    <n v="41774440.715243123"/>
    <n v="69"/>
    <n v="23"/>
    <d v="2025-12-05T00:00:00"/>
    <s v="viernes"/>
    <x v="3"/>
    <n v="79.28"/>
    <n v="14.954347826086956"/>
    <x v="0"/>
    <s v="Normal"/>
  </r>
  <r>
    <n v="460"/>
    <x v="2"/>
    <x v="1"/>
    <x v="2"/>
    <x v="0"/>
    <x v="1"/>
    <x v="1"/>
    <n v="5216.38"/>
    <n v="1818.22"/>
    <n v="47107.35"/>
    <n v="994.45"/>
    <n v="33835071600"/>
    <n v="48512112840"/>
    <n v="1301348907.6923077"/>
    <n v="9299957.6027820054"/>
    <n v="116"/>
    <n v="26"/>
    <d v="2025-12-29T00:00:00"/>
    <s v="lunes"/>
    <x v="3"/>
    <n v="78.33"/>
    <n v="8.5728448275862075"/>
    <x v="0"/>
    <s v="Normal"/>
  </r>
  <r>
    <n v="383"/>
    <x v="2"/>
    <x v="0"/>
    <x v="2"/>
    <x v="1"/>
    <x v="2"/>
    <x v="2"/>
    <n v="1970.67"/>
    <n v="2029.2"/>
    <n v="47108.39"/>
    <n v="950.27"/>
    <n v="96268885454255.906"/>
    <n v="68829537240"/>
    <n v="4185603715402.4307"/>
    <n v="34926972.674268141"/>
    <n v="205"/>
    <n v="23"/>
    <d v="2023-02-04T00:00:00"/>
    <s v="sábado"/>
    <x v="1"/>
    <n v="95.68"/>
    <n v="4.6354634146341462"/>
    <x v="1"/>
    <s v="Normal"/>
  </r>
  <r>
    <n v="245"/>
    <x v="2"/>
    <x v="1"/>
    <x v="2"/>
    <x v="1"/>
    <x v="1"/>
    <x v="0"/>
    <n v="5975.42"/>
    <n v="1677.39"/>
    <n v="47307.41"/>
    <n v="902.73"/>
    <n v="12565609830"/>
    <n v="90706652370"/>
    <n v="598362372.85714281"/>
    <n v="15179962.641956549"/>
    <n v="293"/>
    <n v="21"/>
    <d v="2024-06-01T00:00:00"/>
    <s v="sábado"/>
    <x v="4"/>
    <n v="92.13"/>
    <n v="3.0809897610921504"/>
    <x v="1"/>
    <s v="Normal"/>
  </r>
  <r>
    <n v="327"/>
    <x v="2"/>
    <x v="1"/>
    <x v="2"/>
    <x v="0"/>
    <x v="2"/>
    <x v="0"/>
    <n v="5260.86"/>
    <n v="1506.13"/>
    <n v="47326.21"/>
    <n v="1171.56"/>
    <n v="44768613510"/>
    <n v="133787984670"/>
    <n v="1790744540.4000001"/>
    <n v="25430820.18339207"/>
    <n v="64"/>
    <n v="25"/>
    <d v="2025-10-09T00:00:00"/>
    <s v="jueves"/>
    <x v="2"/>
    <n v="91.13"/>
    <n v="18.305624999999999"/>
    <x v="1"/>
    <s v="Normal"/>
  </r>
  <r>
    <n v="477"/>
    <x v="2"/>
    <x v="3"/>
    <x v="2"/>
    <x v="0"/>
    <x v="2"/>
    <x v="0"/>
    <n v="3877.05"/>
    <n v="1606.62"/>
    <n v="47433.95"/>
    <n v="946.26"/>
    <n v="17240902470"/>
    <n v="48216211290"/>
    <n v="615746516.78571427"/>
    <n v="12436314.024838472"/>
    <n v="264"/>
    <n v="28"/>
    <d v="2023-12-14T00:00:00"/>
    <s v="jueves"/>
    <x v="3"/>
    <n v="96.09"/>
    <n v="3.584318181818182"/>
    <x v="1"/>
    <s v="Normal"/>
  </r>
  <r>
    <n v="260"/>
    <x v="0"/>
    <x v="2"/>
    <x v="0"/>
    <x v="0"/>
    <x v="1"/>
    <x v="2"/>
    <n v="4288.74"/>
    <n v="1818.14"/>
    <n v="47624.41"/>
    <n v="448.45"/>
    <n v="44820900000"/>
    <n v="26397537930"/>
    <n v="1792836000"/>
    <n v="6155080.0304984683"/>
    <n v="158"/>
    <n v="25"/>
    <d v="2023-01-18T00:00:00"/>
    <s v="miércoles"/>
    <x v="0"/>
    <n v="80.400000000000006"/>
    <n v="2.8382911392405061"/>
    <x v="0"/>
    <s v="Crítica"/>
  </r>
  <r>
    <n v="111"/>
    <x v="2"/>
    <x v="0"/>
    <x v="2"/>
    <x v="0"/>
    <x v="0"/>
    <x v="0"/>
    <n v="5187.7299999999996"/>
    <n v="2489.67"/>
    <n v="47645.74"/>
    <n v="1127.3399999999999"/>
    <n v="28312710930"/>
    <n v="79971845940"/>
    <n v="1230987431.7391305"/>
    <n v="15415575.972535195"/>
    <n v="272"/>
    <n v="23"/>
    <d v="2025-11-04T00:00:00"/>
    <s v="martes"/>
    <x v="5"/>
    <n v="83.24"/>
    <n v="4.1446323529411764"/>
    <x v="0"/>
    <s v="Normal"/>
  </r>
  <r>
    <n v="34"/>
    <x v="0"/>
    <x v="0"/>
    <x v="0"/>
    <x v="1"/>
    <x v="0"/>
    <x v="2"/>
    <n v="4457.8100000000004"/>
    <n v="2731"/>
    <n v="47689.81"/>
    <n v="1690.12"/>
    <n v="27451061280"/>
    <n v="143658797040"/>
    <n v="1055810049.2307693"/>
    <n v="32226316.742974687"/>
    <n v="99"/>
    <n v="26"/>
    <d v="2025-03-02T00:00:00"/>
    <s v="domingo"/>
    <x v="7"/>
    <n v="91.83"/>
    <n v="17.071919191919189"/>
    <x v="1"/>
    <s v="Normal"/>
  </r>
  <r>
    <n v="350"/>
    <x v="1"/>
    <x v="4"/>
    <x v="1"/>
    <x v="1"/>
    <x v="2"/>
    <x v="1"/>
    <n v="4109.25"/>
    <n v="1986.92"/>
    <n v="47727.29"/>
    <n v="583.33000000000004"/>
    <n v="14948574120"/>
    <n v="92260882800"/>
    <n v="622857255"/>
    <n v="22452000.438036136"/>
    <n v="274"/>
    <n v="24"/>
    <d v="2025-06-30T00:00:00"/>
    <s v="lunes"/>
    <x v="4"/>
    <n v="98.45"/>
    <n v="2.1289416058394162"/>
    <x v="1"/>
    <s v="Normal"/>
  </r>
  <r>
    <n v="150"/>
    <x v="2"/>
    <x v="3"/>
    <x v="2"/>
    <x v="1"/>
    <x v="0"/>
    <x v="0"/>
    <n v="3944.16"/>
    <n v="1913.16"/>
    <n v="47815.11"/>
    <n v="1152.1199999999999"/>
    <n v="3818413170"/>
    <n v="106881497100"/>
    <n v="173564235"/>
    <n v="27098671.732384082"/>
    <n v="125"/>
    <n v="22"/>
    <d v="2025-12-12T00:00:00"/>
    <s v="viernes"/>
    <x v="3"/>
    <n v="96.83"/>
    <n v="9.2169599999999985"/>
    <x v="1"/>
    <s v="Normal"/>
  </r>
  <r>
    <n v="453"/>
    <x v="2"/>
    <x v="4"/>
    <x v="2"/>
    <x v="0"/>
    <x v="0"/>
    <x v="0"/>
    <n v="4632.8"/>
    <n v="1656.62"/>
    <n v="47834.1"/>
    <n v="553.91999999999996"/>
    <n v="24450842520"/>
    <n v="140835725280"/>
    <n v="978033700.79999995"/>
    <n v="30399698.946641337"/>
    <n v="122"/>
    <n v="25"/>
    <d v="2025-03-05T00:00:00"/>
    <s v="miércoles"/>
    <x v="7"/>
    <n v="82.04"/>
    <n v="4.5403278688524589"/>
    <x v="0"/>
    <s v="Normal"/>
  </r>
  <r>
    <n v="232"/>
    <x v="2"/>
    <x v="0"/>
    <x v="2"/>
    <x v="0"/>
    <x v="0"/>
    <x v="1"/>
    <n v="6291.69"/>
    <n v="-10.97"/>
    <n v="47942.52"/>
    <n v="1037.71"/>
    <n v="14316453900"/>
    <n v="136760399640"/>
    <n v="511301925"/>
    <n v="21736671.647840247"/>
    <n v="299"/>
    <n v="28"/>
    <d v="2025-11-01T00:00:00"/>
    <s v="sábado"/>
    <x v="5"/>
    <n v="96.61"/>
    <n v="3.4706020066889631"/>
    <x v="1"/>
    <s v="Normal"/>
  </r>
  <r>
    <n v="262"/>
    <x v="1"/>
    <x v="1"/>
    <x v="1"/>
    <x v="0"/>
    <x v="2"/>
    <x v="0"/>
    <n v="4444.74"/>
    <n v="2469.5"/>
    <n v="47973.279999999999"/>
    <n v="465.19"/>
    <n v="31029547140"/>
    <n v="153218119680"/>
    <n v="1034318238"/>
    <n v="34471784.554327138"/>
    <n v="223"/>
    <n v="30"/>
    <d v="2025-02-07T00:00:00"/>
    <s v="viernes"/>
    <x v="1"/>
    <n v="86.95"/>
    <n v="2.0860538116591929"/>
    <x v="0"/>
    <s v="Normal"/>
  </r>
  <r>
    <n v="359"/>
    <x v="0"/>
    <x v="0"/>
    <x v="0"/>
    <x v="1"/>
    <x v="0"/>
    <x v="1"/>
    <n v="5270.97"/>
    <n v="1701.5"/>
    <n v="48002.27"/>
    <n v="759.71"/>
    <n v="24018426360"/>
    <n v="67373845740"/>
    <n v="1044279406.9565217"/>
    <n v="12782058.281492779"/>
    <n v="183"/>
    <n v="23"/>
    <d v="2025-03-12T00:00:00"/>
    <s v="miércoles"/>
    <x v="7"/>
    <n v="89.51"/>
    <n v="4.1514207650273223"/>
    <x v="0"/>
    <s v="Normal"/>
  </r>
  <r>
    <n v="343"/>
    <x v="0"/>
    <x v="1"/>
    <x v="0"/>
    <x v="1"/>
    <x v="2"/>
    <x v="1"/>
    <n v="5641.81"/>
    <n v="1926.09"/>
    <n v="48027.31"/>
    <n v="960.86"/>
    <n v="41115653190"/>
    <n v="114717844800"/>
    <n v="1787637095.2173913"/>
    <n v="20333517.931302186"/>
    <n v="239"/>
    <n v="23"/>
    <d v="2025-12-28T00:00:00"/>
    <s v="domingo"/>
    <x v="3"/>
    <n v="88"/>
    <n v="4.0203347280334727"/>
    <x v="0"/>
    <s v="Normal"/>
  </r>
  <r>
    <n v="352"/>
    <x v="1"/>
    <x v="2"/>
    <x v="1"/>
    <x v="0"/>
    <x v="0"/>
    <x v="0"/>
    <n v="4959.8100000000004"/>
    <n v="2874.42"/>
    <n v="48085.22"/>
    <n v="826.28"/>
    <n v="32272562700"/>
    <n v="48293800920"/>
    <n v="1112846989.6551723"/>
    <n v="9737026.402221052"/>
    <n v="299"/>
    <n v="29"/>
    <d v="2024-04-18T00:00:00"/>
    <s v="jueves"/>
    <x v="11"/>
    <n v="73.42"/>
    <n v="2.7634782608695652"/>
    <x v="2"/>
    <s v="Normal"/>
  </r>
  <r>
    <n v="437"/>
    <x v="1"/>
    <x v="2"/>
    <x v="1"/>
    <x v="1"/>
    <x v="1"/>
    <x v="1"/>
    <n v="8819.07"/>
    <n v="1865.45"/>
    <n v="48095.92"/>
    <n v="768.83"/>
    <n v="34121105370"/>
    <n v="77857115850"/>
    <n v="1218610906.0714285"/>
    <n v="8828268.269783549"/>
    <n v="160"/>
    <n v="28"/>
    <d v="2023-04-19T00:00:00"/>
    <s v="miércoles"/>
    <x v="11"/>
    <n v="80.290000000000006"/>
    <n v="4.8051875000000006"/>
    <x v="0"/>
    <s v="Normal"/>
  </r>
  <r>
    <n v="96"/>
    <x v="2"/>
    <x v="1"/>
    <x v="2"/>
    <x v="0"/>
    <x v="2"/>
    <x v="0"/>
    <n v="5857.22"/>
    <n v="3619.83"/>
    <n v="48144.63"/>
    <n v="1210.8900000000001"/>
    <n v="1383951259738.8899"/>
    <n v="24122037960"/>
    <n v="69197562986.944489"/>
    <n v="4118342.4832941224"/>
    <n v="59"/>
    <n v="20"/>
    <d v="2025-03-15T00:00:00"/>
    <s v="sábado"/>
    <x v="7"/>
    <n v="95.2"/>
    <n v="20.523559322033901"/>
    <x v="1"/>
    <s v="Normal"/>
  </r>
  <r>
    <n v="459"/>
    <x v="1"/>
    <x v="2"/>
    <x v="1"/>
    <x v="0"/>
    <x v="2"/>
    <x v="0"/>
    <n v="3032.24"/>
    <n v="1970.37"/>
    <n v="48157.86"/>
    <n v="1342.26"/>
    <n v="33568607610"/>
    <n v="132430839210"/>
    <n v="1459504678.6956522"/>
    <n v="43674260.352082953"/>
    <n v="260"/>
    <n v="23"/>
    <d v="2023-08-05T00:00:00"/>
    <s v="sábado"/>
    <x v="8"/>
    <n v="95.86"/>
    <n v="5.1625384615384613"/>
    <x v="1"/>
    <s v="Normal"/>
  </r>
  <r>
    <n v="93"/>
    <x v="0"/>
    <x v="1"/>
    <x v="0"/>
    <x v="1"/>
    <x v="1"/>
    <x v="2"/>
    <n v="5702.85"/>
    <n v="1236.31"/>
    <n v="48192.31"/>
    <n v="890.05"/>
    <n v="30420985500"/>
    <n v="30121898490"/>
    <n v="1126703166.6666667"/>
    <n v="5281902.6434151344"/>
    <n v="246"/>
    <n v="27"/>
    <d v="2025-04-05T00:00:00"/>
    <s v="sábado"/>
    <x v="11"/>
    <n v="82.8"/>
    <n v="3.6180894308943086"/>
    <x v="0"/>
    <s v="Crítica"/>
  </r>
  <r>
    <n v="170"/>
    <x v="2"/>
    <x v="3"/>
    <x v="2"/>
    <x v="1"/>
    <x v="1"/>
    <x v="0"/>
    <n v="5161.5200000000004"/>
    <n v="2121.02"/>
    <n v="48229.77"/>
    <n v="1404"/>
    <n v="38018373300"/>
    <n v="179614687320"/>
    <n v="1584098887.5"/>
    <n v="34798797.121778078"/>
    <n v="158"/>
    <n v="24"/>
    <d v="2025-08-12T00:00:00"/>
    <s v="martes"/>
    <x v="8"/>
    <n v="74.040000000000006"/>
    <n v="8.886075949367088"/>
    <x v="2"/>
    <s v="Normal"/>
  </r>
  <r>
    <n v="311"/>
    <x v="1"/>
    <x v="0"/>
    <x v="1"/>
    <x v="1"/>
    <x v="1"/>
    <x v="2"/>
    <n v="4774.37"/>
    <n v="1909.5"/>
    <n v="48403.74"/>
    <n v="1319.23"/>
    <n v="12581641170"/>
    <n v="153983838330"/>
    <n v="483909275.76923078"/>
    <n v="32252179.518973183"/>
    <n v="229"/>
    <n v="26"/>
    <d v="2025-06-02T00:00:00"/>
    <s v="lunes"/>
    <x v="4"/>
    <n v="75.48"/>
    <n v="5.7608296943231441"/>
    <x v="0"/>
    <s v="Crítica"/>
  </r>
  <r>
    <n v="124"/>
    <x v="0"/>
    <x v="1"/>
    <x v="0"/>
    <x v="0"/>
    <x v="2"/>
    <x v="1"/>
    <n v="7596.98"/>
    <n v="2099.9899999999998"/>
    <n v="48408.28"/>
    <n v="789.6"/>
    <n v="25486561620"/>
    <n v="67522648230"/>
    <n v="1158480073.6363637"/>
    <n v="8888090.824248584"/>
    <n v="67"/>
    <n v="22"/>
    <d v="2024-11-30T00:00:00"/>
    <s v="sábado"/>
    <x v="5"/>
    <n v="70.819999999999993"/>
    <n v="11.785074626865672"/>
    <x v="2"/>
    <s v="Normal"/>
  </r>
  <r>
    <n v="55"/>
    <x v="1"/>
    <x v="1"/>
    <x v="1"/>
    <x v="0"/>
    <x v="2"/>
    <x v="0"/>
    <n v="8063.59"/>
    <n v="2172.15"/>
    <n v="48409.21"/>
    <n v="787.19"/>
    <n v="1373784307138.8899"/>
    <n v="82797383790"/>
    <n v="50880900264.403328"/>
    <n v="10268054.773370173"/>
    <n v="159"/>
    <n v="27"/>
    <d v="2024-05-24T00:00:00"/>
    <s v="viernes"/>
    <x v="9"/>
    <n v="80.010000000000005"/>
    <n v="4.9508805031446546"/>
    <x v="0"/>
    <s v="Normal"/>
  </r>
  <r>
    <n v="320"/>
    <x v="2"/>
    <x v="1"/>
    <x v="2"/>
    <x v="0"/>
    <x v="0"/>
    <x v="0"/>
    <n v="2731.11"/>
    <n v="1997.18"/>
    <n v="48476.99"/>
    <n v="241.09"/>
    <n v="29827970820"/>
    <n v="1136100934140"/>
    <n v="1242832117.5"/>
    <n v="415985051.55046844"/>
    <n v="93"/>
    <n v="24"/>
    <d v="2024-10-18T00:00:00"/>
    <s v="viernes"/>
    <x v="2"/>
    <n v="79.319999999999993"/>
    <n v="2.5923655913978494"/>
    <x v="0"/>
    <s v="Normal"/>
  </r>
  <r>
    <n v="386"/>
    <x v="0"/>
    <x v="0"/>
    <x v="0"/>
    <x v="1"/>
    <x v="2"/>
    <x v="0"/>
    <n v="6667.98"/>
    <n v="901.77"/>
    <n v="48478.61"/>
    <n v="981.78"/>
    <n v="43903942110"/>
    <n v="111795827490"/>
    <n v="2090663910"/>
    <n v="16766071.207472129"/>
    <n v="196"/>
    <n v="21"/>
    <d v="2024-11-12T00:00:00"/>
    <s v="martes"/>
    <x v="5"/>
    <n v="86.58"/>
    <n v="5.0090816326530607"/>
    <x v="0"/>
    <s v="Normal"/>
  </r>
  <r>
    <n v="344"/>
    <x v="0"/>
    <x v="3"/>
    <x v="0"/>
    <x v="0"/>
    <x v="2"/>
    <x v="1"/>
    <n v="1868.17"/>
    <n v="2671.56"/>
    <n v="48593.43"/>
    <n v="881.41"/>
    <n v="1356839386138.8899"/>
    <n v="170778807000"/>
    <n v="64611399339.947136"/>
    <n v="91415024.863904238"/>
    <n v="164"/>
    <n v="21"/>
    <d v="2025-12-06T00:00:00"/>
    <s v="sábado"/>
    <x v="3"/>
    <n v="88.51"/>
    <n v="5.3744512195121947"/>
    <x v="0"/>
    <s v="Normal"/>
  </r>
  <r>
    <n v="483"/>
    <x v="0"/>
    <x v="2"/>
    <x v="0"/>
    <x v="0"/>
    <x v="0"/>
    <x v="2"/>
    <n v="6742.89"/>
    <n v="1665.13"/>
    <n v="48618.36"/>
    <n v="1355.25"/>
    <n v="30279285810"/>
    <n v="51681144330"/>
    <n v="1376331173.1818182"/>
    <n v="7664539.1412287606"/>
    <n v="181"/>
    <n v="22"/>
    <d v="2023-05-14T00:00:00"/>
    <s v="domingo"/>
    <x v="9"/>
    <n v="97.89"/>
    <n v="7.4875690607734811"/>
    <x v="1"/>
    <s v="Crítica"/>
  </r>
  <r>
    <n v="87"/>
    <x v="1"/>
    <x v="0"/>
    <x v="1"/>
    <x v="1"/>
    <x v="2"/>
    <x v="1"/>
    <n v="4776.22"/>
    <n v="2294.38"/>
    <n v="48719.89"/>
    <n v="596.35"/>
    <n v="21035041110"/>
    <n v="756551961660"/>
    <n v="725346245.17241383"/>
    <n v="158399730.67823508"/>
    <n v="168"/>
    <n v="29"/>
    <d v="2025-11-17T00:00:00"/>
    <s v="lunes"/>
    <x v="5"/>
    <n v="71.53"/>
    <n v="3.5497023809523811"/>
    <x v="2"/>
    <s v="Normal"/>
  </r>
  <r>
    <n v="415"/>
    <x v="0"/>
    <x v="0"/>
    <x v="0"/>
    <x v="0"/>
    <x v="0"/>
    <x v="2"/>
    <n v="5692.55"/>
    <n v="1334.21"/>
    <n v="48822.22"/>
    <n v="1517.99"/>
    <n v="29003001660"/>
    <n v="1563093528180"/>
    <n v="1261000072.173913"/>
    <n v="274585823.25671273"/>
    <n v="148"/>
    <n v="23"/>
    <d v="2023-05-31T00:00:00"/>
    <s v="miércoles"/>
    <x v="9"/>
    <n v="84.03"/>
    <n v="10.256689189189188"/>
    <x v="0"/>
    <s v="Crítica"/>
  </r>
  <r>
    <n v="496"/>
    <x v="0"/>
    <x v="0"/>
    <x v="0"/>
    <x v="0"/>
    <x v="0"/>
    <x v="1"/>
    <n v="3005.54"/>
    <n v="2144.63"/>
    <n v="48866.21"/>
    <n v="1768.76"/>
    <n v="10230790590"/>
    <n v="28091609550"/>
    <n v="393491945.76923078"/>
    <n v="9346609.7772779595"/>
    <n v="266"/>
    <n v="26"/>
    <d v="2024-12-18T00:00:00"/>
    <s v="miércoles"/>
    <x v="3"/>
    <n v="85.53"/>
    <n v="6.649473684210526"/>
    <x v="0"/>
    <s v="Normal"/>
  </r>
  <r>
    <n v="192"/>
    <x v="2"/>
    <x v="4"/>
    <x v="2"/>
    <x v="0"/>
    <x v="1"/>
    <x v="0"/>
    <n v="1278.06"/>
    <n v="2188.4299999999998"/>
    <n v="48904.91"/>
    <n v="774.15"/>
    <n v="13959314820"/>
    <n v="44347273740"/>
    <n v="517011660"/>
    <n v="34698898.126848504"/>
    <n v="215"/>
    <n v="27"/>
    <d v="2024-07-13T00:00:00"/>
    <s v="sábado"/>
    <x v="6"/>
    <n v="84.58"/>
    <n v="3.6006976744186043"/>
    <x v="0"/>
    <s v="Normal"/>
  </r>
  <r>
    <n v="12"/>
    <x v="0"/>
    <x v="1"/>
    <x v="0"/>
    <x v="1"/>
    <x v="2"/>
    <x v="0"/>
    <n v="3943.58"/>
    <n v="2458.46"/>
    <n v="48908.86"/>
    <n v="710.27"/>
    <n v="19353015360"/>
    <n v="171636889140"/>
    <n v="667345357.24137926"/>
    <n v="43523115.833836265"/>
    <n v="69"/>
    <n v="29"/>
    <d v="2024-01-21T00:00:00"/>
    <s v="domingo"/>
    <x v="0"/>
    <n v="75.91"/>
    <n v="10.293768115942029"/>
    <x v="0"/>
    <s v="Normal"/>
  </r>
  <r>
    <n v="21"/>
    <x v="2"/>
    <x v="2"/>
    <x v="2"/>
    <x v="1"/>
    <x v="1"/>
    <x v="2"/>
    <n v="6207.2"/>
    <n v="1825.52"/>
    <n v="49001.98"/>
    <n v="815.02"/>
    <n v="8554401000"/>
    <n v="98651834820"/>
    <n v="356433375"/>
    <n v="15893129.72354685"/>
    <n v="91"/>
    <n v="24"/>
    <d v="2025-12-18T00:00:00"/>
    <s v="jueves"/>
    <x v="3"/>
    <n v="71.58"/>
    <n v="8.9562637362637361"/>
    <x v="2"/>
    <s v="Crítica"/>
  </r>
  <r>
    <n v="151"/>
    <x v="2"/>
    <x v="0"/>
    <x v="2"/>
    <x v="1"/>
    <x v="2"/>
    <x v="2"/>
    <n v="4166.68"/>
    <n v="2569.1"/>
    <n v="49016.58"/>
    <n v="1179.32"/>
    <n v="31057588620"/>
    <n v="424446610740"/>
    <n v="1242303544.8"/>
    <n v="101866860.60364605"/>
    <n v="221"/>
    <n v="25"/>
    <d v="2024-07-04T00:00:00"/>
    <s v="jueves"/>
    <x v="6"/>
    <n v="80.62"/>
    <n v="5.3362895927601803"/>
    <x v="0"/>
    <s v="Normal"/>
  </r>
  <r>
    <n v="223"/>
    <x v="0"/>
    <x v="1"/>
    <x v="0"/>
    <x v="0"/>
    <x v="2"/>
    <x v="0"/>
    <n v="4293.34"/>
    <n v="2718.14"/>
    <n v="49045.67"/>
    <n v="937.32"/>
    <n v="1720745370"/>
    <n v="106150625550"/>
    <n v="57358179"/>
    <n v="24724486.192568023"/>
    <n v="142"/>
    <n v="30"/>
    <d v="2025-11-11T00:00:00"/>
    <s v="martes"/>
    <x v="5"/>
    <n v="91.32"/>
    <n v="6.6008450704225359"/>
    <x v="1"/>
    <s v="Normal"/>
  </r>
  <r>
    <n v="169"/>
    <x v="0"/>
    <x v="0"/>
    <x v="0"/>
    <x v="0"/>
    <x v="1"/>
    <x v="0"/>
    <n v="6947.99"/>
    <n v="1502.58"/>
    <n v="49083.32"/>
    <n v="1016.21"/>
    <n v="6292385460"/>
    <n v="89374933800"/>
    <n v="299637402.85714287"/>
    <n v="12863422.917994989"/>
    <n v="190"/>
    <n v="21"/>
    <d v="2025-02-02T00:00:00"/>
    <s v="domingo"/>
    <x v="1"/>
    <n v="94.48"/>
    <n v="5.3484736842105267"/>
    <x v="1"/>
    <s v="Normal"/>
  </r>
  <r>
    <n v="488"/>
    <x v="1"/>
    <x v="1"/>
    <x v="1"/>
    <x v="0"/>
    <x v="2"/>
    <x v="0"/>
    <n v="5308.14"/>
    <n v="2515.59"/>
    <n v="49120.34"/>
    <n v="1074.7"/>
    <n v="34380000000"/>
    <n v="147389559570"/>
    <n v="1494782608.6956522"/>
    <n v="27766705.39397981"/>
    <n v="178"/>
    <n v="23"/>
    <d v="2025-03-25T00:00:00"/>
    <s v="martes"/>
    <x v="7"/>
    <n v="85.69"/>
    <n v="6.0376404494382028"/>
    <x v="0"/>
    <s v="Normal"/>
  </r>
  <r>
    <n v="115"/>
    <x v="2"/>
    <x v="0"/>
    <x v="2"/>
    <x v="0"/>
    <x v="1"/>
    <x v="1"/>
    <n v="5068.3900000000003"/>
    <n v="1766.24"/>
    <n v="49141.55"/>
    <n v="1033.93"/>
    <n v="844287400000"/>
    <n v="93446377920"/>
    <n v="40204161904.761902"/>
    <n v="18437093.0255959"/>
    <n v="155"/>
    <n v="21"/>
    <d v="2023-06-01T00:00:00"/>
    <s v="jueves"/>
    <x v="4"/>
    <n v="75.27"/>
    <n v="6.6705161290322588"/>
    <x v="0"/>
    <s v="Normal"/>
  </r>
  <r>
    <n v="294"/>
    <x v="0"/>
    <x v="3"/>
    <x v="0"/>
    <x v="0"/>
    <x v="1"/>
    <x v="1"/>
    <n v="3896.07"/>
    <n v="1400.41"/>
    <n v="49151.4"/>
    <n v="986.51"/>
    <n v="9753225300"/>
    <n v="1278431798820"/>
    <n v="336318113.79310346"/>
    <n v="328133683.12684321"/>
    <n v="143"/>
    <n v="29"/>
    <d v="2023-11-10T00:00:00"/>
    <s v="viernes"/>
    <x v="5"/>
    <n v="78"/>
    <n v="6.8986713286713286"/>
    <x v="0"/>
    <s v="Normal"/>
  </r>
  <r>
    <n v="80"/>
    <x v="1"/>
    <x v="3"/>
    <x v="1"/>
    <x v="0"/>
    <x v="2"/>
    <x v="0"/>
    <n v="4625.3999999999996"/>
    <n v="1663.73"/>
    <n v="49196.480000000003"/>
    <n v="1448.07"/>
    <n v="16145717490"/>
    <n v="150088501440"/>
    <n v="645828699.60000002"/>
    <n v="32448761.499545988"/>
    <n v="137"/>
    <n v="25"/>
    <d v="2024-01-27T00:00:00"/>
    <s v="sábado"/>
    <x v="0"/>
    <n v="82.77"/>
    <n v="10.56985401459854"/>
    <x v="0"/>
    <s v="Normal"/>
  </r>
  <r>
    <n v="480"/>
    <x v="2"/>
    <x v="4"/>
    <x v="2"/>
    <x v="1"/>
    <x v="0"/>
    <x v="1"/>
    <n v="7573.55"/>
    <n v="1236.0999999999999"/>
    <n v="49309.02"/>
    <n v="861.05"/>
    <n v="25990106040"/>
    <n v="94092826230"/>
    <n v="1130004610.4347825"/>
    <n v="12423873.379062658"/>
    <n v="133"/>
    <n v="23"/>
    <d v="2025-04-03T00:00:00"/>
    <s v="jueves"/>
    <x v="11"/>
    <n v="89.27"/>
    <n v="6.4740601503759398"/>
    <x v="0"/>
    <s v="Normal"/>
  </r>
  <r>
    <n v="278"/>
    <x v="2"/>
    <x v="1"/>
    <x v="2"/>
    <x v="0"/>
    <x v="1"/>
    <x v="1"/>
    <n v="7460.76"/>
    <n v="1486.8"/>
    <n v="49382.97"/>
    <n v="1066.73"/>
    <n v="21865733190"/>
    <n v="48611133450"/>
    <n v="753990799.65517247"/>
    <n v="6515573.9428690905"/>
    <n v="51"/>
    <n v="29"/>
    <d v="2025-06-21T00:00:00"/>
    <s v="sábado"/>
    <x v="4"/>
    <n v="92.42"/>
    <n v="20.916274509803923"/>
    <x v="1"/>
    <s v="Normal"/>
  </r>
  <r>
    <n v="417"/>
    <x v="0"/>
    <x v="2"/>
    <x v="0"/>
    <x v="1"/>
    <x v="0"/>
    <x v="1"/>
    <n v="5783.63"/>
    <n v="2080.5100000000002"/>
    <n v="49425.78"/>
    <n v="1569.02"/>
    <n v="34580260980"/>
    <n v="139149461520"/>
    <n v="1235009320.7142856"/>
    <n v="24059191.462801043"/>
    <n v="153"/>
    <n v="28"/>
    <d v="2024-11-29T00:00:00"/>
    <s v="viernes"/>
    <x v="5"/>
    <n v="92.88"/>
    <n v="10.255032679738562"/>
    <x v="1"/>
    <s v="Normal"/>
  </r>
  <r>
    <n v="413"/>
    <x v="1"/>
    <x v="4"/>
    <x v="1"/>
    <x v="0"/>
    <x v="2"/>
    <x v="1"/>
    <n v="4299.78"/>
    <n v="2166.0300000000002"/>
    <n v="49603.51"/>
    <n v="592.65"/>
    <n v="30286486350"/>
    <n v="30713296140"/>
    <n v="1442213635.7142856"/>
    <n v="7142992.4647307545"/>
    <n v="132"/>
    <n v="21"/>
    <d v="2023-03-03T00:00:00"/>
    <s v="viernes"/>
    <x v="7"/>
    <n v="92.25"/>
    <n v="4.4897727272727268"/>
    <x v="1"/>
    <s v="Normal"/>
  </r>
  <r>
    <n v="68"/>
    <x v="0"/>
    <x v="2"/>
    <x v="0"/>
    <x v="0"/>
    <x v="2"/>
    <x v="1"/>
    <n v="2718.13"/>
    <n v="2753.86"/>
    <n v="49607.72"/>
    <n v="730.34"/>
    <n v="36764920260"/>
    <n v="176624468640"/>
    <n v="1414035394.6153846"/>
    <n v="64980140.258192211"/>
    <n v="62"/>
    <n v="26"/>
    <d v="2023-08-05T00:00:00"/>
    <s v="sábado"/>
    <x v="8"/>
    <n v="82.62"/>
    <n v="11.779677419354838"/>
    <x v="0"/>
    <s v="Normal"/>
  </r>
  <r>
    <n v="235"/>
    <x v="1"/>
    <x v="0"/>
    <x v="1"/>
    <x v="1"/>
    <x v="2"/>
    <x v="1"/>
    <n v="4496.88"/>
    <n v="2726.44"/>
    <n v="49648.39"/>
    <n v="1170.72"/>
    <n v="5323866930"/>
    <n v="131525305290"/>
    <n v="190138104.64285713"/>
    <n v="29248124.319528207"/>
    <n v="176"/>
    <n v="28"/>
    <d v="2024-03-28T00:00:00"/>
    <s v="jueves"/>
    <x v="7"/>
    <n v="82.98"/>
    <n v="6.6518181818181823"/>
    <x v="0"/>
    <s v="Normal"/>
  </r>
  <r>
    <n v="136"/>
    <x v="2"/>
    <x v="1"/>
    <x v="2"/>
    <x v="1"/>
    <x v="0"/>
    <x v="2"/>
    <n v="4771.29"/>
    <n v="1921.69"/>
    <n v="49769.65"/>
    <n v="972.65"/>
    <n v="26973552870"/>
    <n v="95802422580"/>
    <n v="899118429"/>
    <n v="20078935.168476451"/>
    <n v="62"/>
    <n v="30"/>
    <d v="2025-02-08T00:00:00"/>
    <s v="sábado"/>
    <x v="1"/>
    <n v="70.14"/>
    <n v="15.687903225806451"/>
    <x v="2"/>
    <s v="Crítica"/>
  </r>
  <r>
    <n v="436"/>
    <x v="2"/>
    <x v="3"/>
    <x v="2"/>
    <x v="1"/>
    <x v="0"/>
    <x v="1"/>
    <n v="5102.71"/>
    <n v="1396.06"/>
    <n v="49830.55"/>
    <n v="1145.25"/>
    <n v="18499948380"/>
    <n v="946326447900"/>
    <n v="637929254.48275864"/>
    <n v="185455659.42410994"/>
    <n v="186"/>
    <n v="29"/>
    <d v="2023-09-03T00:00:00"/>
    <s v="domingo"/>
    <x v="10"/>
    <n v="72.040000000000006"/>
    <n v="6.157258064516129"/>
    <x v="2"/>
    <s v="Normal"/>
  </r>
  <r>
    <n v="426"/>
    <x v="0"/>
    <x v="2"/>
    <x v="0"/>
    <x v="0"/>
    <x v="2"/>
    <x v="0"/>
    <n v="6971.6"/>
    <n v="1271.6400000000001"/>
    <n v="49861.38"/>
    <n v="942.84"/>
    <n v="11318434020"/>
    <n v="163146157110"/>
    <n v="471601417.5"/>
    <n v="23401537.252567559"/>
    <n v="240"/>
    <n v="24"/>
    <d v="2025-01-23T00:00:00"/>
    <s v="jueves"/>
    <x v="0"/>
    <n v="86.41"/>
    <n v="3.9285000000000001"/>
    <x v="0"/>
    <s v="Normal"/>
  </r>
  <r>
    <n v="302"/>
    <x v="2"/>
    <x v="4"/>
    <x v="2"/>
    <x v="1"/>
    <x v="1"/>
    <x v="1"/>
    <n v="6609.58"/>
    <n v="2428.4499999999998"/>
    <n v="49909.01"/>
    <n v="1259.1600000000001"/>
    <n v="21653764920"/>
    <n v="519333853860"/>
    <n v="902240205"/>
    <n v="78572897.802886114"/>
    <n v="192"/>
    <n v="24"/>
    <d v="2024-09-04T00:00:00"/>
    <s v="miércoles"/>
    <x v="10"/>
    <n v="97.41"/>
    <n v="6.5581250000000004"/>
    <x v="1"/>
    <s v="Normal"/>
  </r>
  <r>
    <n v="363"/>
    <x v="2"/>
    <x v="3"/>
    <x v="2"/>
    <x v="0"/>
    <x v="0"/>
    <x v="0"/>
    <n v="3514.96"/>
    <n v="2220.34"/>
    <n v="49944.54"/>
    <n v="670.23"/>
    <n v="5440977180"/>
    <n v="114330195990"/>
    <n v="194320613.57142857"/>
    <n v="32526741.695495822"/>
    <n v="214"/>
    <n v="28"/>
    <d v="2025-10-12T00:00:00"/>
    <s v="domingo"/>
    <x v="2"/>
    <n v="89.72"/>
    <n v="3.1319158878504676"/>
    <x v="0"/>
    <s v="Normal"/>
  </r>
  <r>
    <n v="225"/>
    <x v="1"/>
    <x v="0"/>
    <x v="1"/>
    <x v="1"/>
    <x v="1"/>
    <x v="2"/>
    <n v="5948.17"/>
    <n v="2187.5"/>
    <n v="49951.96"/>
    <n v="968.76"/>
    <n v="10943393490"/>
    <n v="76886322120"/>
    <n v="390835481.78571427"/>
    <n v="12926046.518509055"/>
    <n v="239"/>
    <n v="28"/>
    <d v="2023-02-07T00:00:00"/>
    <s v="martes"/>
    <x v="1"/>
    <n v="85.11"/>
    <n v="4.0533891213389124"/>
    <x v="0"/>
    <s v="Normal"/>
  </r>
  <r>
    <n v="296"/>
    <x v="2"/>
    <x v="4"/>
    <x v="2"/>
    <x v="1"/>
    <x v="0"/>
    <x v="1"/>
    <n v="3728.71"/>
    <n v="2487.77"/>
    <n v="49967.360000000001"/>
    <n v="1009.72"/>
    <n v="21134048760"/>
    <n v="96841047600"/>
    <n v="845361950.39999998"/>
    <n v="25971729.525760919"/>
    <n v="161"/>
    <n v="25"/>
    <d v="2023-11-01T00:00:00"/>
    <s v="miércoles"/>
    <x v="5"/>
    <n v="72.22"/>
    <n v="6.2715527950310559"/>
    <x v="2"/>
    <s v="Normal"/>
  </r>
  <r>
    <n v="243"/>
    <x v="0"/>
    <x v="0"/>
    <x v="0"/>
    <x v="0"/>
    <x v="0"/>
    <x v="1"/>
    <n v="4667.13"/>
    <n v="2017.43"/>
    <n v="50053.99"/>
    <n v="1434.28"/>
    <n v="6749900730"/>
    <n v="107729319960"/>
    <n v="306813669.54545456"/>
    <n v="23082562.508436661"/>
    <n v="226"/>
    <n v="22"/>
    <d v="2024-04-21T00:00:00"/>
    <s v="domingo"/>
    <x v="11"/>
    <n v="77.95"/>
    <n v="6.3463716814159294"/>
    <x v="0"/>
    <s v="Normal"/>
  </r>
  <r>
    <n v="39"/>
    <x v="2"/>
    <x v="0"/>
    <x v="2"/>
    <x v="0"/>
    <x v="2"/>
    <x v="1"/>
    <n v="5985.33"/>
    <n v="2223.84"/>
    <n v="50077.57"/>
    <n v="1437.01"/>
    <n v="35108131770"/>
    <n v="118478711700"/>
    <n v="1350312760.3846154"/>
    <n v="19794850.359128069"/>
    <n v="101"/>
    <n v="26"/>
    <d v="2023-08-30T00:00:00"/>
    <s v="miércoles"/>
    <x v="8"/>
    <n v="71"/>
    <n v="14.227821782178218"/>
    <x v="2"/>
    <s v="Normal"/>
  </r>
  <r>
    <n v="106"/>
    <x v="1"/>
    <x v="4"/>
    <x v="1"/>
    <x v="0"/>
    <x v="1"/>
    <x v="1"/>
    <n v="3682.44"/>
    <n v="2619.77"/>
    <n v="50121"/>
    <n v="624.98"/>
    <n v="3976131420"/>
    <n v="30800371050"/>
    <n v="142004693.57142857"/>
    <n v="8364120.2707987092"/>
    <n v="136"/>
    <n v="28"/>
    <d v="2024-02-02T00:00:00"/>
    <s v="viernes"/>
    <x v="1"/>
    <n v="83.43"/>
    <n v="4.5954411764705885"/>
    <x v="0"/>
    <s v="Normal"/>
  </r>
  <r>
    <n v="405"/>
    <x v="2"/>
    <x v="3"/>
    <x v="2"/>
    <x v="1"/>
    <x v="2"/>
    <x v="1"/>
    <n v="6978.15"/>
    <n v="2233.9299999999998"/>
    <n v="50298.42"/>
    <n v="490.01"/>
    <n v="34045352460"/>
    <n v="14672888640"/>
    <n v="1547516020.909091"/>
    <n v="2102690.3462952217"/>
    <n v="107"/>
    <n v="22"/>
    <d v="2025-12-07T00:00:00"/>
    <s v="domingo"/>
    <x v="3"/>
    <n v="96.7"/>
    <n v="4.5795327102803736"/>
    <x v="1"/>
    <s v="Normal"/>
  </r>
  <r>
    <n v="163"/>
    <x v="1"/>
    <x v="4"/>
    <x v="1"/>
    <x v="0"/>
    <x v="1"/>
    <x v="0"/>
    <n v="4326.25"/>
    <n v="1977.93"/>
    <n v="50371.11"/>
    <n v="992.5"/>
    <n v="27979303230"/>
    <n v="49916718180"/>
    <n v="964803559.65517247"/>
    <n v="11538103.017624963"/>
    <n v="245"/>
    <n v="29"/>
    <d v="2025-01-21T00:00:00"/>
    <s v="martes"/>
    <x v="0"/>
    <n v="73.53"/>
    <n v="4.0510204081632653"/>
    <x v="2"/>
    <s v="Normal"/>
  </r>
  <r>
    <n v="466"/>
    <x v="0"/>
    <x v="2"/>
    <x v="0"/>
    <x v="1"/>
    <x v="1"/>
    <x v="0"/>
    <n v="2971.75"/>
    <n v="2092.59"/>
    <n v="50403.22"/>
    <n v="1317.62"/>
    <n v="3231221040"/>
    <n v="46049027850"/>
    <n v="119674853.33333333"/>
    <n v="15495592.782030789"/>
    <n v="257"/>
    <n v="27"/>
    <d v="2023-02-08T00:00:00"/>
    <s v="miércoles"/>
    <x v="1"/>
    <n v="89.52"/>
    <n v="5.1269260700389099"/>
    <x v="0"/>
    <s v="Normal"/>
  </r>
  <r>
    <n v="368"/>
    <x v="0"/>
    <x v="1"/>
    <x v="0"/>
    <x v="0"/>
    <x v="1"/>
    <x v="2"/>
    <n v="5309.29"/>
    <n v="1446.88"/>
    <n v="50476.3"/>
    <n v="892.62"/>
    <n v="37594442430"/>
    <n v="127445053410"/>
    <n v="1253148081"/>
    <n v="24004161.27391798"/>
    <n v="249"/>
    <n v="30"/>
    <d v="2024-02-17T00:00:00"/>
    <s v="sábado"/>
    <x v="1"/>
    <n v="84.31"/>
    <n v="3.584819277108434"/>
    <x v="0"/>
    <s v="Crítica"/>
  </r>
  <r>
    <n v="84"/>
    <x v="0"/>
    <x v="4"/>
    <x v="0"/>
    <x v="1"/>
    <x v="2"/>
    <x v="1"/>
    <n v="2701.21"/>
    <n v="2375.65"/>
    <n v="50633.31"/>
    <n v="1000.83"/>
    <n v="35231827050"/>
    <n v="19642296510"/>
    <n v="1761591352.5"/>
    <n v="7271665.8497488163"/>
    <n v="71"/>
    <n v="20"/>
    <d v="2023-08-19T00:00:00"/>
    <s v="sábado"/>
    <x v="8"/>
    <n v="91.43"/>
    <n v="14.096197183098592"/>
    <x v="1"/>
    <s v="Normal"/>
  </r>
  <r>
    <n v="109"/>
    <x v="2"/>
    <x v="1"/>
    <x v="2"/>
    <x v="1"/>
    <x v="0"/>
    <x v="0"/>
    <n v="4896.47"/>
    <n v="1926.59"/>
    <n v="50641.01"/>
    <n v="1201.44"/>
    <n v="7558870050"/>
    <n v="103567073220"/>
    <n v="314952918.75"/>
    <n v="21151375.01506187"/>
    <n v="296"/>
    <n v="24"/>
    <d v="2024-01-28T00:00:00"/>
    <s v="domingo"/>
    <x v="0"/>
    <n v="88.48"/>
    <n v="4.058918918918919"/>
    <x v="0"/>
    <s v="Normal"/>
  </r>
  <r>
    <n v="185"/>
    <x v="2"/>
    <x v="2"/>
    <x v="2"/>
    <x v="1"/>
    <x v="1"/>
    <x v="1"/>
    <n v="5753.63"/>
    <n v="2223.5"/>
    <n v="50652.22"/>
    <n v="959.79"/>
    <n v="12958336440"/>
    <n v="98996318370"/>
    <n v="479938386.66666669"/>
    <n v="17205888.86841872"/>
    <n v="121"/>
    <n v="27"/>
    <d v="2024-09-15T00:00:00"/>
    <s v="domingo"/>
    <x v="10"/>
    <n v="86.46"/>
    <n v="7.9321487603305778"/>
    <x v="0"/>
    <s v="Normal"/>
  </r>
  <r>
    <n v="133"/>
    <x v="0"/>
    <x v="3"/>
    <x v="0"/>
    <x v="1"/>
    <x v="2"/>
    <x v="2"/>
    <n v="6560.31"/>
    <n v="2219.87"/>
    <n v="50752.11"/>
    <n v="1529.71"/>
    <n v="9430891200"/>
    <n v="1610537149740"/>
    <n v="349292266.66666669"/>
    <n v="245497110.61519957"/>
    <n v="112"/>
    <n v="27"/>
    <d v="2024-07-31T00:00:00"/>
    <s v="miércoles"/>
    <x v="6"/>
    <n v="78.39"/>
    <n v="13.658125"/>
    <x v="0"/>
    <s v="Normal"/>
  </r>
  <r>
    <n v="390"/>
    <x v="0"/>
    <x v="2"/>
    <x v="0"/>
    <x v="1"/>
    <x v="0"/>
    <x v="1"/>
    <n v="4651.3999999999996"/>
    <n v="1836.85"/>
    <n v="50772.47"/>
    <n v="1159.5999999999999"/>
    <n v="42912800000"/>
    <n v="140097536370"/>
    <n v="2145640000"/>
    <n v="30119434.228404354"/>
    <n v="243"/>
    <n v="20"/>
    <d v="2025-10-18T00:00:00"/>
    <s v="sábado"/>
    <x v="2"/>
    <n v="84.47"/>
    <n v="4.7720164609053493"/>
    <x v="0"/>
    <s v="Normal"/>
  </r>
  <r>
    <n v="131"/>
    <x v="0"/>
    <x v="1"/>
    <x v="0"/>
    <x v="0"/>
    <x v="0"/>
    <x v="2"/>
    <n v="3607.6"/>
    <n v="1430.77"/>
    <n v="50775.45"/>
    <n v="644.23"/>
    <n v="40375312560"/>
    <n v="129387050460"/>
    <n v="1392252157.2413793"/>
    <n v="35865132.071183056"/>
    <n v="64"/>
    <n v="29"/>
    <d v="2025-08-13T00:00:00"/>
    <s v="miércoles"/>
    <x v="8"/>
    <n v="97.9"/>
    <n v="10.06609375"/>
    <x v="1"/>
    <s v="Crítica"/>
  </r>
  <r>
    <n v="137"/>
    <x v="1"/>
    <x v="3"/>
    <x v="1"/>
    <x v="1"/>
    <x v="2"/>
    <x v="1"/>
    <n v="3783.84"/>
    <n v="1637.4"/>
    <n v="50798.22"/>
    <n v="1613.75"/>
    <n v="19719234990"/>
    <n v="53319434220"/>
    <n v="939011190"/>
    <n v="14091355.400862616"/>
    <n v="130"/>
    <n v="21"/>
    <d v="2024-09-19T00:00:00"/>
    <s v="jueves"/>
    <x v="10"/>
    <n v="81.97"/>
    <n v="12.413461538461538"/>
    <x v="0"/>
    <s v="Normal"/>
  </r>
  <r>
    <n v="218"/>
    <x v="1"/>
    <x v="3"/>
    <x v="1"/>
    <x v="1"/>
    <x v="1"/>
    <x v="0"/>
    <n v="4425.2299999999996"/>
    <n v="2350.33"/>
    <n v="50920.81"/>
    <n v="952.41"/>
    <n v="14877046710"/>
    <n v="133404262380"/>
    <n v="531323096.78571427"/>
    <n v="30146288.979329892"/>
    <n v="236"/>
    <n v="28"/>
    <d v="2025-11-22T00:00:00"/>
    <s v="sábado"/>
    <x v="5"/>
    <n v="70.91"/>
    <n v="4.0356355932203387"/>
    <x v="2"/>
    <s v="Normal"/>
  </r>
  <r>
    <n v="215"/>
    <x v="0"/>
    <x v="1"/>
    <x v="0"/>
    <x v="1"/>
    <x v="0"/>
    <x v="0"/>
    <n v="5244.14"/>
    <n v="1223.8800000000001"/>
    <n v="50945.52"/>
    <n v="795.71"/>
    <n v="36804525030"/>
    <n v="614221096980"/>
    <n v="1226817501"/>
    <n v="117125228.7276846"/>
    <n v="148"/>
    <n v="30"/>
    <d v="2025-07-17T00:00:00"/>
    <s v="jueves"/>
    <x v="6"/>
    <n v="92.11"/>
    <n v="5.3764189189189189"/>
    <x v="1"/>
    <s v="Normal"/>
  </r>
  <r>
    <n v="1"/>
    <x v="1"/>
    <x v="3"/>
    <x v="1"/>
    <x v="0"/>
    <x v="1"/>
    <x v="0"/>
    <n v="2367.8200000000002"/>
    <n v="2786.73"/>
    <n v="50998.28"/>
    <n v="1500.77"/>
    <n v="5806031850"/>
    <n v="86509147590"/>
    <n v="241917993.75"/>
    <n v="36535356.399557397"/>
    <n v="258"/>
    <n v="24"/>
    <d v="2025-05-16T00:00:00"/>
    <s v="viernes"/>
    <x v="9"/>
    <n v="76.87"/>
    <n v="5.816937984496124"/>
    <x v="0"/>
    <s v="Normal"/>
  </r>
  <r>
    <n v="134"/>
    <x v="1"/>
    <x v="4"/>
    <x v="1"/>
    <x v="1"/>
    <x v="0"/>
    <x v="0"/>
    <n v="4857.87"/>
    <n v="1845.83"/>
    <n v="51078.27"/>
    <n v="811.64"/>
    <n v="26626331250"/>
    <n v="136612598760"/>
    <n v="1331316562.5"/>
    <n v="28121913.258279864"/>
    <n v="296"/>
    <n v="20"/>
    <d v="2024-10-17T00:00:00"/>
    <s v="jueves"/>
    <x v="2"/>
    <n v="83.91"/>
    <n v="2.7420270270270271"/>
    <x v="0"/>
    <s v="Normal"/>
  </r>
  <r>
    <n v="8"/>
    <x v="2"/>
    <x v="1"/>
    <x v="2"/>
    <x v="1"/>
    <x v="0"/>
    <x v="0"/>
    <n v="8447.7000000000007"/>
    <n v="2230.17"/>
    <n v="51235.45"/>
    <n v="823.59"/>
    <n v="23487445710"/>
    <n v="34099291890"/>
    <n v="838837346.78571427"/>
    <n v="4036517.8557477179"/>
    <n v="144"/>
    <n v="28"/>
    <d v="2023-05-11T00:00:00"/>
    <s v="jueves"/>
    <x v="9"/>
    <n v="91.3"/>
    <n v="5.7193750000000003"/>
    <x v="1"/>
    <s v="Normal"/>
  </r>
  <r>
    <n v="79"/>
    <x v="1"/>
    <x v="3"/>
    <x v="1"/>
    <x v="0"/>
    <x v="0"/>
    <x v="0"/>
    <n v="5690.11"/>
    <n v="1538.14"/>
    <n v="51431.56"/>
    <n v="1316.24"/>
    <n v="889594848200"/>
    <n v="46840485240"/>
    <n v="44479742410"/>
    <n v="8231912.0790283494"/>
    <n v="176"/>
    <n v="20"/>
    <d v="2024-08-15T00:00:00"/>
    <s v="jueves"/>
    <x v="8"/>
    <n v="80.2"/>
    <n v="7.4786363636363635"/>
    <x v="0"/>
    <s v="Normal"/>
  </r>
  <r>
    <n v="326"/>
    <x v="1"/>
    <x v="0"/>
    <x v="1"/>
    <x v="0"/>
    <x v="0"/>
    <x v="2"/>
    <n v="7686.72"/>
    <n v="1921.16"/>
    <n v="51433.72"/>
    <n v="823.53"/>
    <n v="39195983160"/>
    <n v="173372155650"/>
    <n v="1306532772"/>
    <n v="22554764.015080553"/>
    <n v="81"/>
    <n v="30"/>
    <d v="2025-10-22T00:00:00"/>
    <s v="miércoles"/>
    <x v="2"/>
    <n v="71.099999999999994"/>
    <n v="10.167037037037037"/>
    <x v="2"/>
    <s v="Crítica"/>
  </r>
  <r>
    <n v="271"/>
    <x v="2"/>
    <x v="1"/>
    <x v="2"/>
    <x v="1"/>
    <x v="2"/>
    <x v="0"/>
    <n v="9657.2999999999993"/>
    <n v="1203.3699999999999"/>
    <n v="51566.19"/>
    <n v="847.48"/>
    <n v="874960726155.90002"/>
    <n v="14316548310"/>
    <n v="31248597362.710716"/>
    <n v="1482458.6903171695"/>
    <n v="278"/>
    <n v="28"/>
    <d v="2025-11-28T00:00:00"/>
    <s v="viernes"/>
    <x v="5"/>
    <n v="91.06"/>
    <n v="3.0484892086330935"/>
    <x v="1"/>
    <s v="Normal"/>
  </r>
  <r>
    <n v="424"/>
    <x v="0"/>
    <x v="2"/>
    <x v="0"/>
    <x v="0"/>
    <x v="0"/>
    <x v="1"/>
    <n v="4900.41"/>
    <n v="2252.88"/>
    <n v="51601.78"/>
    <n v="1312.56"/>
    <n v="30935492730"/>
    <n v="56315361600"/>
    <n v="1237419709.2"/>
    <n v="11491969.365828574"/>
    <n v="89"/>
    <n v="25"/>
    <d v="2024-03-30T00:00:00"/>
    <s v="sábado"/>
    <x v="7"/>
    <n v="77.77"/>
    <n v="14.747865168539326"/>
    <x v="0"/>
    <s v="Normal"/>
  </r>
  <r>
    <n v="15"/>
    <x v="0"/>
    <x v="3"/>
    <x v="0"/>
    <x v="0"/>
    <x v="1"/>
    <x v="0"/>
    <n v="6478.58"/>
    <n v="1858.05"/>
    <n v="51620.86"/>
    <n v="1444.81"/>
    <n v="1407674149138.8899"/>
    <n v="168135727140"/>
    <n v="70383707456.944489"/>
    <n v="25952558.606978688"/>
    <n v="102"/>
    <n v="20"/>
    <d v="2024-04-04T00:00:00"/>
    <s v="jueves"/>
    <x v="11"/>
    <n v="81.58"/>
    <n v="14.164803921568627"/>
    <x v="0"/>
    <s v="Normal"/>
  </r>
  <r>
    <n v="481"/>
    <x v="2"/>
    <x v="0"/>
    <x v="2"/>
    <x v="0"/>
    <x v="0"/>
    <x v="0"/>
    <n v="2469.13"/>
    <n v="2743.18"/>
    <n v="51622.96"/>
    <n v="1072.97"/>
    <n v="6520086180"/>
    <n v="101057801130"/>
    <n v="310480294.28571427"/>
    <n v="40928505.639638253"/>
    <n v="189"/>
    <n v="21"/>
    <d v="2023-02-05T00:00:00"/>
    <s v="domingo"/>
    <x v="1"/>
    <n v="83.13"/>
    <n v="5.6770899470899474"/>
    <x v="0"/>
    <s v="Normal"/>
  </r>
  <r>
    <n v="345"/>
    <x v="1"/>
    <x v="2"/>
    <x v="1"/>
    <x v="1"/>
    <x v="0"/>
    <x v="2"/>
    <n v="3900.97"/>
    <n v="1494.43"/>
    <n v="51696.24"/>
    <n v="945.04"/>
    <n v="7552580580"/>
    <n v="85057538400"/>
    <n v="359646694.28571427"/>
    <n v="21804202.134340946"/>
    <n v="188"/>
    <n v="21"/>
    <d v="2025-10-05T00:00:00"/>
    <s v="domingo"/>
    <x v="2"/>
    <n v="90.28"/>
    <n v="5.0268085106382978"/>
    <x v="1"/>
    <s v="Crítica"/>
  </r>
  <r>
    <n v="85"/>
    <x v="2"/>
    <x v="0"/>
    <x v="2"/>
    <x v="1"/>
    <x v="0"/>
    <x v="0"/>
    <n v="6247.31"/>
    <n v="1560.35"/>
    <n v="51802.68"/>
    <n v="1127.8399999999999"/>
    <n v="29645790750"/>
    <n v="1895198879100"/>
    <n v="1482289537.5"/>
    <n v="303362387.82772106"/>
    <n v="179"/>
    <n v="20"/>
    <d v="2025-10-14T00:00:00"/>
    <s v="martes"/>
    <x v="2"/>
    <n v="70.849999999999994"/>
    <n v="6.3007821229050274"/>
    <x v="2"/>
    <s v="Normal"/>
  </r>
  <r>
    <n v="282"/>
    <x v="1"/>
    <x v="4"/>
    <x v="1"/>
    <x v="1"/>
    <x v="0"/>
    <x v="0"/>
    <n v="2676.83"/>
    <n v="2118.38"/>
    <n v="51839.94"/>
    <n v="1515.95"/>
    <n v="7535754900"/>
    <n v="164881893330"/>
    <n v="279102033.33333331"/>
    <n v="61595952.425069951"/>
    <n v="79"/>
    <n v="27"/>
    <d v="2023-06-16T00:00:00"/>
    <s v="viernes"/>
    <x v="4"/>
    <n v="82.97"/>
    <n v="19.189240506329114"/>
    <x v="0"/>
    <s v="Normal"/>
  </r>
  <r>
    <n v="128"/>
    <x v="1"/>
    <x v="3"/>
    <x v="1"/>
    <x v="1"/>
    <x v="1"/>
    <x v="1"/>
    <n v="4597.05"/>
    <n v="1573.73"/>
    <n v="51856.36"/>
    <n v="1633.26"/>
    <n v="24637149990"/>
    <n v="124824546270"/>
    <n v="1071180434.3478261"/>
    <n v="27153184.383463308"/>
    <n v="194"/>
    <n v="23"/>
    <d v="2024-10-07T00:00:00"/>
    <s v="lunes"/>
    <x v="2"/>
    <n v="90.73"/>
    <n v="8.4188659793814438"/>
    <x v="1"/>
    <s v="Normal"/>
  </r>
  <r>
    <n v="498"/>
    <x v="1"/>
    <x v="0"/>
    <x v="1"/>
    <x v="1"/>
    <x v="0"/>
    <x v="0"/>
    <n v="5170.1000000000004"/>
    <n v="2525.3000000000002"/>
    <n v="51895.49"/>
    <n v="848.97"/>
    <n v="6745415040"/>
    <n v="53768159280"/>
    <n v="240907680"/>
    <n v="10399829.651263999"/>
    <n v="226"/>
    <n v="28"/>
    <d v="2025-01-05T00:00:00"/>
    <s v="domingo"/>
    <x v="0"/>
    <n v="78.790000000000006"/>
    <n v="3.7565044247787611"/>
    <x v="0"/>
    <s v="Normal"/>
  </r>
  <r>
    <n v="265"/>
    <x v="2"/>
    <x v="3"/>
    <x v="2"/>
    <x v="1"/>
    <x v="1"/>
    <x v="1"/>
    <n v="4862.3599999999997"/>
    <n v="2370.6"/>
    <n v="51930.61"/>
    <n v="1094.06"/>
    <n v="5864061330"/>
    <n v="107671152510"/>
    <n v="279241015.71428573"/>
    <n v="22143805.170740135"/>
    <n v="108"/>
    <n v="21"/>
    <d v="2025-05-03T00:00:00"/>
    <s v="sábado"/>
    <x v="9"/>
    <n v="93.36"/>
    <n v="10.130185185185185"/>
    <x v="1"/>
    <s v="Normal"/>
  </r>
  <r>
    <n v="457"/>
    <x v="1"/>
    <x v="4"/>
    <x v="1"/>
    <x v="0"/>
    <x v="0"/>
    <x v="2"/>
    <n v="4879.6099999999997"/>
    <n v="1941.37"/>
    <n v="51932.47"/>
    <n v="244.86"/>
    <n v="44568206910"/>
    <n v="118237128930"/>
    <n v="2122295567.1428571"/>
    <n v="24230856.345076758"/>
    <n v="153"/>
    <n v="21"/>
    <d v="2025-10-11T00:00:00"/>
    <s v="sábado"/>
    <x v="2"/>
    <n v="72.650000000000006"/>
    <n v="1.6003921568627453"/>
    <x v="2"/>
    <s v="Crítica"/>
  </r>
  <r>
    <n v="216"/>
    <x v="2"/>
    <x v="1"/>
    <x v="2"/>
    <x v="0"/>
    <x v="1"/>
    <x v="2"/>
    <n v="3632.31"/>
    <n v="2646.77"/>
    <n v="52008.35"/>
    <n v="729.47"/>
    <n v="1339894465138.8899"/>
    <n v="42234735420"/>
    <n v="46203257418.582413"/>
    <n v="11627514.011744592"/>
    <n v="187"/>
    <n v="29"/>
    <d v="2024-02-05T00:00:00"/>
    <s v="lunes"/>
    <x v="1"/>
    <n v="86.96"/>
    <n v="3.9009090909090909"/>
    <x v="0"/>
    <s v="Normal"/>
  </r>
  <r>
    <n v="431"/>
    <x v="1"/>
    <x v="2"/>
    <x v="1"/>
    <x v="1"/>
    <x v="0"/>
    <x v="2"/>
    <n v="3766.07"/>
    <n v="1713.8"/>
    <n v="52062.62"/>
    <n v="942.75"/>
    <n v="40173958800"/>
    <n v="142394176350"/>
    <n v="1913045657.1428571"/>
    <n v="37809752.965292729"/>
    <n v="163"/>
    <n v="21"/>
    <d v="2024-01-31T00:00:00"/>
    <s v="miércoles"/>
    <x v="0"/>
    <n v="93.47"/>
    <n v="5.7837423312883436"/>
    <x v="1"/>
    <s v="Crítica"/>
  </r>
  <r>
    <n v="175"/>
    <x v="2"/>
    <x v="3"/>
    <x v="2"/>
    <x v="0"/>
    <x v="2"/>
    <x v="2"/>
    <n v="5646.26"/>
    <n v="2189.02"/>
    <n v="52128.55"/>
    <n v="1176.1400000000001"/>
    <n v="7423154190"/>
    <n v="126168069510"/>
    <n v="285505930.38461536"/>
    <n v="22345423.255393837"/>
    <n v="260"/>
    <n v="26"/>
    <d v="2024-12-29T00:00:00"/>
    <s v="domingo"/>
    <x v="3"/>
    <n v="89.99"/>
    <n v="4.5236153846153853"/>
    <x v="0"/>
    <s v="Normal"/>
  </r>
  <r>
    <n v="159"/>
    <x v="2"/>
    <x v="0"/>
    <x v="2"/>
    <x v="0"/>
    <x v="1"/>
    <x v="0"/>
    <n v="6655.5"/>
    <n v="1814.87"/>
    <n v="52143.87"/>
    <n v="1227.3699999999999"/>
    <n v="44878934430"/>
    <n v="55273060350"/>
    <n v="1726112862.6923077"/>
    <n v="8304869.7092630155"/>
    <n v="67"/>
    <n v="26"/>
    <d v="2023-10-07T00:00:00"/>
    <s v="sábado"/>
    <x v="2"/>
    <n v="98.43"/>
    <n v="18.318955223880597"/>
    <x v="1"/>
    <s v="Normal"/>
  </r>
  <r>
    <n v="305"/>
    <x v="0"/>
    <x v="1"/>
    <x v="0"/>
    <x v="0"/>
    <x v="1"/>
    <x v="2"/>
    <n v="5025.33"/>
    <n v="2077.44"/>
    <n v="52297.91"/>
    <n v="1217.8"/>
    <n v="33844629240"/>
    <n v="96640648290"/>
    <n v="1471505619.1304348"/>
    <n v="19230706.896860506"/>
    <n v="251"/>
    <n v="23"/>
    <d v="2025-12-12T00:00:00"/>
    <s v="viernes"/>
    <x v="3"/>
    <n v="83.42"/>
    <n v="4.8517928286852587"/>
    <x v="0"/>
    <s v="Normal"/>
  </r>
  <r>
    <n v="119"/>
    <x v="1"/>
    <x v="0"/>
    <x v="1"/>
    <x v="1"/>
    <x v="2"/>
    <x v="1"/>
    <n v="7797.5"/>
    <n v="2607.14"/>
    <n v="52351.07"/>
    <n v="1102.3399999999999"/>
    <n v="42787072080"/>
    <n v="46491265530"/>
    <n v="1528109717.1428571"/>
    <n v="5962329.660788714"/>
    <n v="58"/>
    <n v="28"/>
    <d v="2023-08-19T00:00:00"/>
    <s v="sábado"/>
    <x v="8"/>
    <n v="94.74"/>
    <n v="19.005862068965516"/>
    <x v="1"/>
    <s v="Normal"/>
  </r>
  <r>
    <n v="416"/>
    <x v="1"/>
    <x v="4"/>
    <x v="1"/>
    <x v="1"/>
    <x v="0"/>
    <x v="1"/>
    <n v="8520.57"/>
    <n v="1496.1"/>
    <n v="52651"/>
    <n v="1031.1400000000001"/>
    <n v="25441733160"/>
    <n v="43961916150"/>
    <n v="1017669326.4"/>
    <n v="5159504.1352867242"/>
    <n v="287"/>
    <n v="25"/>
    <d v="2024-10-14T00:00:00"/>
    <s v="lunes"/>
    <x v="2"/>
    <n v="79.150000000000006"/>
    <n v="3.5928222996515684"/>
    <x v="0"/>
    <s v="Normal"/>
  </r>
  <r>
    <n v="253"/>
    <x v="1"/>
    <x v="3"/>
    <x v="1"/>
    <x v="0"/>
    <x v="0"/>
    <x v="1"/>
    <n v="4720.92"/>
    <n v="1404.59"/>
    <n v="52681.08"/>
    <n v="171.68"/>
    <n v="9149402070"/>
    <n v="136329432570"/>
    <n v="351900079.61538464"/>
    <n v="28877725.648814213"/>
    <n v="254"/>
    <n v="26"/>
    <d v="2024-11-30T00:00:00"/>
    <s v="sábado"/>
    <x v="5"/>
    <n v="83.14"/>
    <n v="0.67590551181102365"/>
    <x v="0"/>
    <s v="Normal"/>
  </r>
  <r>
    <n v="259"/>
    <x v="0"/>
    <x v="2"/>
    <x v="0"/>
    <x v="0"/>
    <x v="1"/>
    <x v="0"/>
    <n v="2945.45"/>
    <n v="1457.29"/>
    <n v="52685.45"/>
    <n v="1112.28"/>
    <n v="20419155900"/>
    <n v="90151423290"/>
    <n v="972340757.14285719"/>
    <n v="30607011.930265326"/>
    <n v="268"/>
    <n v="21"/>
    <d v="2023-05-08T00:00:00"/>
    <s v="lunes"/>
    <x v="9"/>
    <n v="80.48"/>
    <n v="4.1502985074626864"/>
    <x v="0"/>
    <s v="Normal"/>
  </r>
  <r>
    <n v="5"/>
    <x v="0"/>
    <x v="4"/>
    <x v="0"/>
    <x v="1"/>
    <x v="0"/>
    <x v="2"/>
    <n v="5354"/>
    <n v="2749.48"/>
    <n v="52873.87"/>
    <n v="1410.05"/>
    <n v="4670101800"/>
    <n v="43079208660"/>
    <n v="161037993.10344827"/>
    <n v="8046172.7045199852"/>
    <n v="106"/>
    <n v="29"/>
    <d v="2023-11-27T00:00:00"/>
    <s v="lunes"/>
    <x v="5"/>
    <n v="98.67"/>
    <n v="13.302358490566037"/>
    <x v="1"/>
    <s v="Normal"/>
  </r>
  <r>
    <n v="328"/>
    <x v="0"/>
    <x v="4"/>
    <x v="0"/>
    <x v="0"/>
    <x v="2"/>
    <x v="1"/>
    <n v="6634.16"/>
    <n v="1901.49"/>
    <n v="52907.63"/>
    <n v="775.36"/>
    <n v="40753124730"/>
    <n v="126000880830"/>
    <n v="1771874988.2608695"/>
    <n v="18992740.728291146"/>
    <n v="189"/>
    <n v="23"/>
    <d v="2025-04-07T00:00:00"/>
    <s v="lunes"/>
    <x v="11"/>
    <n v="85.31"/>
    <n v="4.1024338624338625"/>
    <x v="0"/>
    <s v="Normal"/>
  </r>
  <r>
    <n v="214"/>
    <x v="2"/>
    <x v="2"/>
    <x v="2"/>
    <x v="0"/>
    <x v="1"/>
    <x v="1"/>
    <n v="5655.07"/>
    <n v="1881.54"/>
    <n v="52916.14"/>
    <n v="990.83"/>
    <n v="13551801210"/>
    <n v="89657895780"/>
    <n v="451726707"/>
    <n v="15854427.227249177"/>
    <n v="81"/>
    <n v="30"/>
    <d v="2023-04-02T00:00:00"/>
    <s v="domingo"/>
    <x v="11"/>
    <n v="88.65"/>
    <n v="12.23246913580247"/>
    <x v="0"/>
    <s v="Normal"/>
  </r>
  <r>
    <n v="348"/>
    <x v="0"/>
    <x v="0"/>
    <x v="0"/>
    <x v="0"/>
    <x v="0"/>
    <x v="0"/>
    <n v="3784.89"/>
    <n v="2134.11"/>
    <n v="52927.67"/>
    <n v="1091.69"/>
    <n v="7220300130"/>
    <n v="65439199350"/>
    <n v="277703851.15384614"/>
    <n v="17289590.80713046"/>
    <n v="144"/>
    <n v="26"/>
    <d v="2025-09-08T00:00:00"/>
    <s v="lunes"/>
    <x v="10"/>
    <n v="85.45"/>
    <n v="7.581180555555556"/>
    <x v="0"/>
    <s v="Normal"/>
  </r>
  <r>
    <n v="443"/>
    <x v="0"/>
    <x v="1"/>
    <x v="0"/>
    <x v="1"/>
    <x v="1"/>
    <x v="1"/>
    <n v="5264.77"/>
    <n v="1698.11"/>
    <n v="52967.76"/>
    <n v="504.29"/>
    <n v="11319543810"/>
    <n v="44549393940"/>
    <n v="390329096.89655173"/>
    <n v="8461793.0014036689"/>
    <n v="168"/>
    <n v="29"/>
    <d v="2023-08-23T00:00:00"/>
    <s v="miércoles"/>
    <x v="8"/>
    <n v="98.19"/>
    <n v="3.0017261904761905"/>
    <x v="1"/>
    <s v="Normal"/>
  </r>
  <r>
    <n v="291"/>
    <x v="0"/>
    <x v="1"/>
    <x v="0"/>
    <x v="1"/>
    <x v="2"/>
    <x v="1"/>
    <n v="1085.24"/>
    <n v="1707.95"/>
    <n v="53067.77"/>
    <n v="1227.3"/>
    <n v="44201422980"/>
    <n v="84741165720"/>
    <n v="1841725957.5"/>
    <n v="78085184.585898057"/>
    <n v="62"/>
    <n v="24"/>
    <d v="2023-02-20T00:00:00"/>
    <s v="lunes"/>
    <x v="1"/>
    <n v="78.069999999999993"/>
    <n v="19.795161290322579"/>
    <x v="0"/>
    <s v="Normal"/>
  </r>
  <r>
    <n v="199"/>
    <x v="1"/>
    <x v="4"/>
    <x v="1"/>
    <x v="1"/>
    <x v="2"/>
    <x v="0"/>
    <n v="4139.17"/>
    <n v="2886.88"/>
    <n v="53089.16"/>
    <n v="1099.04"/>
    <n v="37123543530"/>
    <n v="128421345510"/>
    <n v="1614067110"/>
    <n v="31025868.836022679"/>
    <n v="180"/>
    <n v="23"/>
    <d v="2023-02-23T00:00:00"/>
    <s v="jueves"/>
    <x v="1"/>
    <n v="97.65"/>
    <n v="6.105777777777778"/>
    <x v="1"/>
    <s v="Normal"/>
  </r>
  <r>
    <n v="263"/>
    <x v="2"/>
    <x v="4"/>
    <x v="2"/>
    <x v="1"/>
    <x v="2"/>
    <x v="1"/>
    <n v="4495.07"/>
    <n v="1650.42"/>
    <n v="53127.53"/>
    <n v="1171.78"/>
    <n v="26825430150"/>
    <n v="23872878720"/>
    <n v="1341271507.5"/>
    <n v="5310902.5487923436"/>
    <n v="121"/>
    <n v="20"/>
    <d v="2024-11-16T00:00:00"/>
    <s v="sábado"/>
    <x v="5"/>
    <n v="93.11"/>
    <n v="9.6841322314049592"/>
    <x v="1"/>
    <s v="Normal"/>
  </r>
  <r>
    <n v="3"/>
    <x v="1"/>
    <x v="1"/>
    <x v="1"/>
    <x v="1"/>
    <x v="1"/>
    <x v="1"/>
    <n v="3152.06"/>
    <n v="1803.9"/>
    <n v="53158.44"/>
    <n v="805.05"/>
    <n v="78723259782656.297"/>
    <n v="105799355100"/>
    <n v="3422750425332.8823"/>
    <n v="33565146.317011729"/>
    <n v="272"/>
    <n v="23"/>
    <d v="2023-05-02T00:00:00"/>
    <n v="0"/>
    <x v="9"/>
    <n v="92.33"/>
    <n v="2.9597426470588233"/>
    <x v="1"/>
    <s v="Normal"/>
  </r>
  <r>
    <n v="173"/>
    <x v="1"/>
    <x v="2"/>
    <x v="1"/>
    <x v="0"/>
    <x v="0"/>
    <x v="1"/>
    <n v="3914.84"/>
    <n v="1331.31"/>
    <n v="53182.38"/>
    <n v="1365.85"/>
    <n v="40071067560"/>
    <n v="92290203000"/>
    <n v="1908146074.2857144"/>
    <n v="23574450.807695843"/>
    <n v="278"/>
    <n v="21"/>
    <d v="2025-05-13T00:00:00"/>
    <s v="martes"/>
    <x v="9"/>
    <n v="72.34"/>
    <n v="4.9131294964028775"/>
    <x v="2"/>
    <s v="Normal"/>
  </r>
  <r>
    <n v="347"/>
    <x v="1"/>
    <x v="1"/>
    <x v="1"/>
    <x v="1"/>
    <x v="1"/>
    <x v="1"/>
    <n v="5899.99"/>
    <n v="1818.65"/>
    <n v="53227.56"/>
    <n v="1094.72"/>
    <n v="17085975570"/>
    <n v="1752868014420"/>
    <n v="742868503.04347825"/>
    <n v="297096777.18436813"/>
    <n v="220"/>
    <n v="23"/>
    <d v="2025-08-15T00:00:00"/>
    <s v="viernes"/>
    <x v="8"/>
    <n v="94.63"/>
    <n v="4.976"/>
    <x v="1"/>
    <s v="Normal"/>
  </r>
  <r>
    <n v="384"/>
    <x v="2"/>
    <x v="3"/>
    <x v="2"/>
    <x v="1"/>
    <x v="2"/>
    <x v="0"/>
    <n v="6607.1"/>
    <n v="2574.11"/>
    <n v="53441.51"/>
    <n v="675.48"/>
    <n v="26842654080"/>
    <n v="77443244190"/>
    <n v="1032409772.3076923"/>
    <n v="11721215.690696372"/>
    <n v="66"/>
    <n v="26"/>
    <d v="2024-12-27T00:00:00"/>
    <s v="viernes"/>
    <x v="3"/>
    <n v="70.290000000000006"/>
    <n v="10.234545454545454"/>
    <x v="2"/>
    <s v="Normal"/>
  </r>
  <r>
    <n v="44"/>
    <x v="2"/>
    <x v="2"/>
    <x v="2"/>
    <x v="0"/>
    <x v="0"/>
    <x v="2"/>
    <n v="5510.1"/>
    <n v="1686.56"/>
    <n v="53486.53"/>
    <n v="1134.58"/>
    <n v="3767700870"/>
    <n v="16933232160"/>
    <n v="156987536.25"/>
    <n v="3073126.1066042357"/>
    <n v="86"/>
    <n v="24"/>
    <d v="2025-08-13T00:00:00"/>
    <s v="miércoles"/>
    <x v="8"/>
    <n v="95.84"/>
    <n v="13.192790697674418"/>
    <x v="1"/>
    <s v="Crítica"/>
  </r>
  <r>
    <n v="81"/>
    <x v="0"/>
    <x v="4"/>
    <x v="0"/>
    <x v="0"/>
    <x v="1"/>
    <x v="0"/>
    <n v="3569.81"/>
    <n v="2562.35"/>
    <n v="53488.89"/>
    <n v="1290.25"/>
    <n v="19108771470"/>
    <n v="77586067350"/>
    <n v="764350858.79999995"/>
    <n v="21733948.68354338"/>
    <n v="176"/>
    <n v="25"/>
    <d v="2025-11-26T00:00:00"/>
    <s v="miércoles"/>
    <x v="5"/>
    <n v="72.010000000000005"/>
    <n v="7.3309659090909092"/>
    <x v="2"/>
    <s v="Normal"/>
  </r>
  <r>
    <n v="362"/>
    <x v="0"/>
    <x v="3"/>
    <x v="0"/>
    <x v="1"/>
    <x v="0"/>
    <x v="1"/>
    <n v="7723.06"/>
    <n v="2383.27"/>
    <n v="53578.400000000001"/>
    <n v="1392.25"/>
    <n v="15551288550"/>
    <n v="1847755257540"/>
    <n v="706876752.27272725"/>
    <n v="239251703.0218592"/>
    <n v="151"/>
    <n v="22"/>
    <d v="2025-10-13T00:00:00"/>
    <s v="lunes"/>
    <x v="2"/>
    <n v="84.66"/>
    <n v="9.2201986754966896"/>
    <x v="0"/>
    <s v="Normal"/>
  </r>
  <r>
    <n v="264"/>
    <x v="1"/>
    <x v="0"/>
    <x v="1"/>
    <x v="1"/>
    <x v="2"/>
    <x v="2"/>
    <n v="5527.63"/>
    <n v="1897.25"/>
    <n v="53583.85"/>
    <n v="1104.6099999999999"/>
    <n v="3494843640"/>
    <n v="62727188670"/>
    <n v="158856529.09090909"/>
    <n v="11347935.493149867"/>
    <n v="57"/>
    <n v="22"/>
    <d v="2024-09-17T00:00:00"/>
    <s v="martes"/>
    <x v="10"/>
    <n v="79.89"/>
    <n v="19.379122807017541"/>
    <x v="0"/>
    <s v="Crítica"/>
  </r>
  <r>
    <n v="398"/>
    <x v="2"/>
    <x v="1"/>
    <x v="2"/>
    <x v="1"/>
    <x v="0"/>
    <x v="2"/>
    <n v="3227.91"/>
    <n v="2566.5700000000002"/>
    <n v="53836.81"/>
    <n v="1149"/>
    <n v="17797373730"/>
    <n v="16013615760"/>
    <n v="808971533.18181813"/>
    <n v="4960985.8267423818"/>
    <n v="267"/>
    <n v="22"/>
    <d v="2025-01-30T00:00:00"/>
    <s v="jueves"/>
    <x v="0"/>
    <n v="72.680000000000007"/>
    <n v="4.3033707865168536"/>
    <x v="2"/>
    <s v="Normal"/>
  </r>
  <r>
    <n v="94"/>
    <x v="2"/>
    <x v="1"/>
    <x v="2"/>
    <x v="1"/>
    <x v="0"/>
    <x v="2"/>
    <n v="5762.28"/>
    <n v="2807.24"/>
    <n v="53868.99"/>
    <n v="615.96"/>
    <n v="22242531150"/>
    <n v="174510367650"/>
    <n v="889701246"/>
    <n v="30284951.035006978"/>
    <n v="241"/>
    <n v="25"/>
    <d v="2024-05-17T00:00:00"/>
    <s v="viernes"/>
    <x v="9"/>
    <n v="73.790000000000006"/>
    <n v="2.5558506224066391"/>
    <x v="2"/>
    <s v="Normal"/>
  </r>
  <r>
    <n v="376"/>
    <x v="2"/>
    <x v="1"/>
    <x v="2"/>
    <x v="0"/>
    <x v="1"/>
    <x v="2"/>
    <n v="4412.8599999999997"/>
    <n v="1842.33"/>
    <n v="53921.17"/>
    <n v="471.83"/>
    <n v="1400896180738.8899"/>
    <n v="57892656330"/>
    <n v="58370674197.453743"/>
    <n v="13119078.404934669"/>
    <n v="198"/>
    <n v="24"/>
    <d v="2024-11-21T00:00:00"/>
    <s v="jueves"/>
    <x v="5"/>
    <n v="86.43"/>
    <n v="2.382979797979798"/>
    <x v="0"/>
    <s v="Crítica"/>
  </r>
  <r>
    <n v="74"/>
    <x v="0"/>
    <x v="2"/>
    <x v="0"/>
    <x v="1"/>
    <x v="2"/>
    <x v="0"/>
    <n v="4797.99"/>
    <n v="1940.42"/>
    <n v="54073.23"/>
    <n v="803.52"/>
    <n v="43035893550"/>
    <n v="52741132020"/>
    <n v="1536996198.2142856"/>
    <n v="10992338.879405752"/>
    <n v="53"/>
    <n v="28"/>
    <d v="2025-05-10T00:00:00"/>
    <s v="sábado"/>
    <x v="9"/>
    <n v="95.46"/>
    <n v="15.160754716981131"/>
    <x v="1"/>
    <s v="Normal"/>
  </r>
  <r>
    <n v="392"/>
    <x v="1"/>
    <x v="4"/>
    <x v="1"/>
    <x v="1"/>
    <x v="0"/>
    <x v="1"/>
    <n v="3426.49"/>
    <n v="1230.0899999999999"/>
    <n v="54092.46"/>
    <n v="1220.2"/>
    <n v="32472758700"/>
    <n v="170783631810"/>
    <n v="1119750300"/>
    <n v="49842150.950389467"/>
    <n v="168"/>
    <n v="29"/>
    <d v="2023-04-25T00:00:00"/>
    <s v="martes"/>
    <x v="11"/>
    <n v="81.3"/>
    <n v="7.2630952380952385"/>
    <x v="0"/>
    <s v="Normal"/>
  </r>
  <r>
    <n v="234"/>
    <x v="2"/>
    <x v="3"/>
    <x v="2"/>
    <x v="1"/>
    <x v="0"/>
    <x v="1"/>
    <n v="5839.04"/>
    <n v="1435.05"/>
    <n v="54220.95"/>
    <n v="830.45"/>
    <n v="30743687790"/>
    <n v="91702124010"/>
    <n v="1138655103.3333333"/>
    <n v="15705000.138721434"/>
    <n v="280"/>
    <n v="27"/>
    <d v="2025-08-17T00:00:00"/>
    <s v="domingo"/>
    <x v="8"/>
    <n v="72.290000000000006"/>
    <n v="2.9658928571428573"/>
    <x v="2"/>
    <s v="Normal"/>
  </r>
  <r>
    <n v="220"/>
    <x v="2"/>
    <x v="0"/>
    <x v="2"/>
    <x v="0"/>
    <x v="2"/>
    <x v="2"/>
    <n v="3280.26"/>
    <n v="2567.12"/>
    <n v="54232.27"/>
    <n v="698.83"/>
    <n v="12756975660"/>
    <n v="67848281910"/>
    <n v="637848783"/>
    <n v="20683812.231347512"/>
    <n v="226"/>
    <n v="20"/>
    <d v="2024-04-04T00:00:00"/>
    <s v="jueves"/>
    <x v="11"/>
    <n v="88.05"/>
    <n v="3.0921681415929205"/>
    <x v="0"/>
    <s v="Normal"/>
  </r>
  <r>
    <n v="336"/>
    <x v="2"/>
    <x v="2"/>
    <x v="2"/>
    <x v="1"/>
    <x v="0"/>
    <x v="1"/>
    <n v="7423.94"/>
    <n v="2330.94"/>
    <n v="54306.68"/>
    <n v="828.59"/>
    <n v="26784857610"/>
    <n v="82055670930"/>
    <n v="1217493527.7272727"/>
    <n v="11052846.726940142"/>
    <n v="204"/>
    <n v="22"/>
    <d v="2024-08-03T00:00:00"/>
    <s v="sábado"/>
    <x v="8"/>
    <n v="73.34"/>
    <n v="4.0617156862745096"/>
    <x v="2"/>
    <s v="Normal"/>
  </r>
  <r>
    <n v="364"/>
    <x v="1"/>
    <x v="4"/>
    <x v="1"/>
    <x v="1"/>
    <x v="2"/>
    <x v="1"/>
    <n v="4339.99"/>
    <n v="2952.83"/>
    <n v="54449.69"/>
    <n v="894.45"/>
    <n v="9888699870"/>
    <n v="65240046900"/>
    <n v="412029161.25"/>
    <n v="15032303.50761177"/>
    <n v="286"/>
    <n v="24"/>
    <d v="2024-05-14T00:00:00"/>
    <s v="martes"/>
    <x v="9"/>
    <n v="75.88"/>
    <n v="3.1274475524475527"/>
    <x v="0"/>
    <s v="Normal"/>
  </r>
  <r>
    <n v="100"/>
    <x v="2"/>
    <x v="0"/>
    <x v="2"/>
    <x v="1"/>
    <x v="2"/>
    <x v="0"/>
    <n v="5266.06"/>
    <n v="1372.11"/>
    <n v="54550.59"/>
    <n v="616.58000000000004"/>
    <n v="38462993190"/>
    <n v="234672124500"/>
    <n v="1538519727.5999999"/>
    <n v="44563131.544266485"/>
    <n v="201"/>
    <n v="25"/>
    <d v="2025-08-18T00:00:00"/>
    <s v="lunes"/>
    <x v="8"/>
    <n v="90.86"/>
    <n v="3.0675621890547267"/>
    <x v="1"/>
    <s v="Normal"/>
  </r>
  <r>
    <n v="313"/>
    <x v="1"/>
    <x v="2"/>
    <x v="1"/>
    <x v="0"/>
    <x v="0"/>
    <x v="2"/>
    <n v="4113.05"/>
    <n v="2210.77"/>
    <n v="54564.69"/>
    <n v="896.38"/>
    <n v="16173283860"/>
    <n v="144379650960"/>
    <n v="703186254.78260875"/>
    <n v="35102819.309271708"/>
    <n v="210"/>
    <n v="23"/>
    <d v="2025-05-16T00:00:00"/>
    <s v="viernes"/>
    <x v="9"/>
    <n v="77.760000000000005"/>
    <n v="4.2684761904761901"/>
    <x v="0"/>
    <s v="Normal"/>
  </r>
  <r>
    <n v="276"/>
    <x v="1"/>
    <x v="1"/>
    <x v="1"/>
    <x v="1"/>
    <x v="0"/>
    <x v="0"/>
    <n v="4440.25"/>
    <n v="2029.2"/>
    <n v="54650.14"/>
    <n v="1466.81"/>
    <n v="16387656660"/>
    <n v="117604439100"/>
    <n v="655506266.39999998"/>
    <n v="26485994.955239005"/>
    <n v="65"/>
    <n v="25"/>
    <d v="2024-06-08T00:00:00"/>
    <s v="sábado"/>
    <x v="4"/>
    <n v="86.17"/>
    <n v="22.566307692307692"/>
    <x v="0"/>
    <s v="Normal"/>
  </r>
  <r>
    <n v="365"/>
    <x v="1"/>
    <x v="3"/>
    <x v="1"/>
    <x v="1"/>
    <x v="1"/>
    <x v="0"/>
    <n v="2579.8000000000002"/>
    <n v="1467.35"/>
    <n v="54682.65"/>
    <n v="1191.78"/>
    <n v="39705443190"/>
    <n v="80970815250"/>
    <n v="1804792872.2727273"/>
    <n v="31386469.97829289"/>
    <n v="241"/>
    <n v="22"/>
    <d v="2025-11-05T00:00:00"/>
    <s v="miércoles"/>
    <x v="5"/>
    <n v="91.62"/>
    <n v="4.9451452282157673"/>
    <x v="1"/>
    <s v="Normal"/>
  </r>
  <r>
    <n v="231"/>
    <x v="1"/>
    <x v="2"/>
    <x v="1"/>
    <x v="0"/>
    <x v="1"/>
    <x v="0"/>
    <n v="2699.38"/>
    <n v="2138.91"/>
    <n v="54732.9"/>
    <n v="1033.2"/>
    <n v="7405745310"/>
    <n v="65956647510"/>
    <n v="284836358.07692307"/>
    <n v="24433998.736746956"/>
    <n v="262"/>
    <n v="26"/>
    <d v="2025-03-08T00:00:00"/>
    <s v="sábado"/>
    <x v="7"/>
    <n v="97.93"/>
    <n v="3.9435114503816795"/>
    <x v="1"/>
    <s v="Normal"/>
  </r>
  <r>
    <n v="35"/>
    <x v="1"/>
    <x v="1"/>
    <x v="1"/>
    <x v="1"/>
    <x v="2"/>
    <x v="2"/>
    <n v="3771.1"/>
    <n v="490.98"/>
    <n v="54781.33"/>
    <n v="1142.6099999999999"/>
    <n v="18158237550"/>
    <n v="26611653870"/>
    <n v="605274585"/>
    <n v="7056735.1356368167"/>
    <n v="151"/>
    <n v="30"/>
    <d v="2024-01-23T00:00:00"/>
    <s v="martes"/>
    <x v="0"/>
    <n v="84.5"/>
    <n v="7.5669536423841057"/>
    <x v="0"/>
    <s v="Crítica"/>
  </r>
  <r>
    <n v="6"/>
    <x v="0"/>
    <x v="2"/>
    <x v="0"/>
    <x v="1"/>
    <x v="2"/>
    <x v="2"/>
    <n v="5349.01"/>
    <n v="1819.94"/>
    <n v="54795.79"/>
    <n v="746.72"/>
    <n v="17420133510"/>
    <n v="590198000000"/>
    <n v="600694258.96551728"/>
    <n v="110337800.82669502"/>
    <n v="57"/>
    <n v="29"/>
    <d v="2023-03-29T00:00:00"/>
    <s v="miércoles"/>
    <x v="7"/>
    <n v="79.98"/>
    <n v="13.100350877192984"/>
    <x v="0"/>
    <s v="Crítica"/>
  </r>
  <r>
    <n v="98"/>
    <x v="2"/>
    <x v="2"/>
    <x v="2"/>
    <x v="1"/>
    <x v="2"/>
    <x v="0"/>
    <n v="5704.43"/>
    <n v="1302.6199999999999"/>
    <n v="54936.75"/>
    <n v="1284.44"/>
    <n v="8140902930"/>
    <n v="72871581420"/>
    <n v="301514923.33333331"/>
    <n v="12774559.670291334"/>
    <n v="177"/>
    <n v="27"/>
    <d v="2024-11-14T00:00:00"/>
    <s v="jueves"/>
    <x v="5"/>
    <n v="70.02"/>
    <n v="7.2567231638418086"/>
    <x v="2"/>
    <s v="Normal"/>
  </r>
  <r>
    <n v="167"/>
    <x v="2"/>
    <x v="3"/>
    <x v="2"/>
    <x v="1"/>
    <x v="1"/>
    <x v="1"/>
    <n v="6017.45"/>
    <n v="1355.82"/>
    <n v="55022.92"/>
    <n v="1105.0999999999999"/>
    <n v="37673151660"/>
    <n v="177554427750"/>
    <n v="1506926066.4000001"/>
    <n v="29506589.626835287"/>
    <n v="111"/>
    <n v="25"/>
    <d v="2024-07-17T00:00:00"/>
    <s v="miércoles"/>
    <x v="6"/>
    <n v="73.89"/>
    <n v="9.9558558558558552"/>
    <x v="2"/>
    <s v="Normal"/>
  </r>
  <r>
    <n v="160"/>
    <x v="0"/>
    <x v="1"/>
    <x v="0"/>
    <x v="1"/>
    <x v="1"/>
    <x v="1"/>
    <n v="7588.12"/>
    <n v="2412.17"/>
    <n v="55221.01"/>
    <n v="1437.73"/>
    <n v="7880765490"/>
    <n v="114049016370"/>
    <n v="291880203.33333331"/>
    <n v="15029943.697516644"/>
    <n v="193"/>
    <n v="27"/>
    <d v="2023-11-17T00:00:00"/>
    <s v="viernes"/>
    <x v="5"/>
    <n v="88.85"/>
    <n v="7.4493782383419687"/>
    <x v="0"/>
    <s v="Normal"/>
  </r>
  <r>
    <n v="36"/>
    <x v="2"/>
    <x v="4"/>
    <x v="2"/>
    <x v="0"/>
    <x v="2"/>
    <x v="0"/>
    <n v="5923.56"/>
    <n v="2016.92"/>
    <n v="55246.77"/>
    <n v="956.1"/>
    <n v="13105390320"/>
    <n v="851439204780"/>
    <n v="546057930"/>
    <n v="143737753.10455197"/>
    <n v="265"/>
    <n v="24"/>
    <d v="2025-11-08T00:00:00"/>
    <s v="sábado"/>
    <x v="5"/>
    <n v="73.709999999999994"/>
    <n v="3.6079245283018868"/>
    <x v="2"/>
    <s v="Normal"/>
  </r>
  <r>
    <n v="61"/>
    <x v="2"/>
    <x v="2"/>
    <x v="2"/>
    <x v="0"/>
    <x v="2"/>
    <x v="2"/>
    <n v="3358.84"/>
    <n v="1051.25"/>
    <n v="55468.24"/>
    <n v="1238.24"/>
    <n v="14235214590"/>
    <n v="141272753580"/>
    <n v="593133941.25"/>
    <n v="42059983.083445475"/>
    <n v="109"/>
    <n v="24"/>
    <d v="2025-05-13T00:00:00"/>
    <s v="martes"/>
    <x v="9"/>
    <n v="90.8"/>
    <n v="11.36"/>
    <x v="1"/>
    <s v="Crítica"/>
  </r>
  <r>
    <n v="377"/>
    <x v="0"/>
    <x v="3"/>
    <x v="0"/>
    <x v="0"/>
    <x v="2"/>
    <x v="2"/>
    <n v="2796.38"/>
    <n v="2762.38"/>
    <n v="55523.8"/>
    <n v="1116.8800000000001"/>
    <n v="10875173310"/>
    <n v="157906003320"/>
    <n v="362505777"/>
    <n v="56468006.250938714"/>
    <n v="164"/>
    <n v="30"/>
    <d v="2025-12-02T00:00:00"/>
    <s v="martes"/>
    <x v="3"/>
    <n v="88.84"/>
    <n v="6.8102439024390247"/>
    <x v="0"/>
    <s v="Normal"/>
  </r>
  <r>
    <n v="323"/>
    <x v="2"/>
    <x v="2"/>
    <x v="2"/>
    <x v="0"/>
    <x v="2"/>
    <x v="0"/>
    <n v="7242.03"/>
    <n v="1665.63"/>
    <n v="55552.91"/>
    <n v="730.89"/>
    <n v="132972754812538"/>
    <n v="107574497910"/>
    <n v="6044216127842.6367"/>
    <n v="14854191.146681249"/>
    <n v="147"/>
    <n v="22"/>
    <d v="2025-12-17T00:00:00"/>
    <s v="miércoles"/>
    <x v="3"/>
    <n v="96.53"/>
    <n v="4.9720408163265306"/>
    <x v="1"/>
    <s v="Normal"/>
  </r>
  <r>
    <n v="331"/>
    <x v="0"/>
    <x v="1"/>
    <x v="0"/>
    <x v="1"/>
    <x v="0"/>
    <x v="0"/>
    <n v="3143.99"/>
    <n v="2607.2399999999998"/>
    <n v="55622.9"/>
    <n v="989.02"/>
    <n v="33739850970"/>
    <n v="125217452970"/>
    <n v="1466950042.173913"/>
    <n v="39827560.828755818"/>
    <n v="255"/>
    <n v="23"/>
    <d v="2025-03-12T00:00:00"/>
    <s v="miércoles"/>
    <x v="7"/>
    <n v="81.12"/>
    <n v="3.8785098039215686"/>
    <x v="0"/>
    <s v="Normal"/>
  </r>
  <r>
    <n v="441"/>
    <x v="2"/>
    <x v="0"/>
    <x v="2"/>
    <x v="1"/>
    <x v="0"/>
    <x v="1"/>
    <n v="4305.58"/>
    <n v="1643.38"/>
    <n v="55865.52"/>
    <n v="961.54"/>
    <n v="36932271750"/>
    <n v="149878851120"/>
    <n v="1273526612.0689654"/>
    <n v="34810374.239939801"/>
    <n v="80"/>
    <n v="29"/>
    <d v="2024-08-23T00:00:00"/>
    <s v="viernes"/>
    <x v="8"/>
    <n v="84.53"/>
    <n v="12.01925"/>
    <x v="0"/>
    <s v="Normal"/>
  </r>
  <r>
    <n v="204"/>
    <x v="2"/>
    <x v="0"/>
    <x v="2"/>
    <x v="0"/>
    <x v="1"/>
    <x v="0"/>
    <n v="7947.99"/>
    <n v="1486.22"/>
    <n v="55953.06"/>
    <n v="1034.0899999999999"/>
    <n v="5881077000"/>
    <n v="154597016250"/>
    <n v="245044875"/>
    <n v="19451083.387120519"/>
    <n v="199"/>
    <n v="24"/>
    <d v="2025-02-12T00:00:00"/>
    <s v="miércoles"/>
    <x v="1"/>
    <n v="73.64"/>
    <n v="5.1964321608040196"/>
    <x v="2"/>
    <s v="Normal"/>
  </r>
  <r>
    <n v="395"/>
    <x v="2"/>
    <x v="4"/>
    <x v="2"/>
    <x v="0"/>
    <x v="2"/>
    <x v="0"/>
    <n v="5933.6"/>
    <n v="2813.65"/>
    <n v="56049.21"/>
    <n v="470.52"/>
    <n v="13188295530"/>
    <n v="113813351370"/>
    <n v="454768811.37931037"/>
    <n v="19181163.437036537"/>
    <n v="293"/>
    <n v="29"/>
    <d v="2023-06-22T00:00:00"/>
    <s v="jueves"/>
    <x v="4"/>
    <n v="80.44"/>
    <n v="1.6058703071672353"/>
    <x v="0"/>
    <s v="Normal"/>
  </r>
  <r>
    <n v="475"/>
    <x v="2"/>
    <x v="1"/>
    <x v="2"/>
    <x v="0"/>
    <x v="0"/>
    <x v="2"/>
    <n v="6021.94"/>
    <n v="2447.2399999999998"/>
    <n v="56058.39"/>
    <n v="603.75"/>
    <n v="1333116496738.8899"/>
    <n v="65274789690"/>
    <n v="57961586814.734344"/>
    <n v="10839495.19423973"/>
    <n v="224"/>
    <n v="23"/>
    <d v="2025-10-21T00:00:00"/>
    <s v="martes"/>
    <x v="2"/>
    <n v="95.04"/>
    <n v="2.6953125"/>
    <x v="1"/>
    <s v="Normal"/>
  </r>
  <r>
    <n v="140"/>
    <x v="1"/>
    <x v="4"/>
    <x v="1"/>
    <x v="1"/>
    <x v="1"/>
    <x v="2"/>
    <n v="2161.1799999999998"/>
    <n v="2345.2199999999998"/>
    <n v="56158.79"/>
    <n v="1436.52"/>
    <n v="39924659700"/>
    <n v="9700058700"/>
    <n v="1735854769.5652175"/>
    <n v="4488315.9662776822"/>
    <n v="89"/>
    <n v="23"/>
    <d v="2025-09-22T00:00:00"/>
    <s v="lunes"/>
    <x v="10"/>
    <n v="70.72"/>
    <n v="16.140674157303369"/>
    <x v="2"/>
    <s v="Normal"/>
  </r>
  <r>
    <n v="157"/>
    <x v="1"/>
    <x v="3"/>
    <x v="1"/>
    <x v="0"/>
    <x v="0"/>
    <x v="1"/>
    <n v="4120.18"/>
    <n v="1983.7"/>
    <n v="56285.33"/>
    <n v="1020.86"/>
    <n v="26348525100"/>
    <n v="44385230430"/>
    <n v="1254691671.4285715"/>
    <n v="10772643.532564111"/>
    <n v="276"/>
    <n v="21"/>
    <d v="2025-02-05T00:00:00"/>
    <s v="miércoles"/>
    <x v="1"/>
    <n v="94.89"/>
    <n v="3.6987681159420291"/>
    <x v="1"/>
    <s v="Normal"/>
  </r>
  <r>
    <n v="190"/>
    <x v="0"/>
    <x v="1"/>
    <x v="0"/>
    <x v="0"/>
    <x v="0"/>
    <x v="0"/>
    <n v="4277.34"/>
    <n v="969.5"/>
    <n v="56290.45"/>
    <n v="253.43"/>
    <n v="9934870320"/>
    <n v="53317392480"/>
    <n v="431950883.47826087"/>
    <n v="12465081.681605857"/>
    <n v="279"/>
    <n v="23"/>
    <d v="2023-01-29T00:00:00"/>
    <s v="domingo"/>
    <x v="0"/>
    <n v="98.5"/>
    <n v="0.90835125448028675"/>
    <x v="1"/>
    <s v="Normal"/>
  </r>
  <r>
    <n v="341"/>
    <x v="2"/>
    <x v="0"/>
    <x v="2"/>
    <x v="1"/>
    <x v="1"/>
    <x v="2"/>
    <n v="5222.05"/>
    <n v="1879.49"/>
    <n v="56297.67"/>
    <n v="564.16"/>
    <n v="31161777300"/>
    <n v="62707427820"/>
    <n v="1354859882.6086957"/>
    <n v="12008201.342384696"/>
    <n v="281"/>
    <n v="23"/>
    <d v="2025-09-23T00:00:00"/>
    <s v="martes"/>
    <x v="10"/>
    <n v="75.650000000000006"/>
    <n v="2.0076868327402133"/>
    <x v="0"/>
    <s v="Crítica"/>
  </r>
  <r>
    <n v="274"/>
    <x v="1"/>
    <x v="3"/>
    <x v="1"/>
    <x v="1"/>
    <x v="2"/>
    <x v="1"/>
    <n v="5618.33"/>
    <n v="2525.4299999999998"/>
    <n v="56586.21"/>
    <n v="632.27"/>
    <n v="24407547210"/>
    <n v="48284218710"/>
    <n v="1061197704.7826087"/>
    <n v="8594051.7395738587"/>
    <n v="266"/>
    <n v="23"/>
    <d v="2025-07-09T00:00:00"/>
    <s v="miércoles"/>
    <x v="6"/>
    <n v="87.53"/>
    <n v="2.3769548872180453"/>
    <x v="0"/>
    <s v="Normal"/>
  </r>
  <r>
    <n v="412"/>
    <x v="2"/>
    <x v="2"/>
    <x v="2"/>
    <x v="0"/>
    <x v="0"/>
    <x v="1"/>
    <n v="2885.73"/>
    <n v="1394.51"/>
    <n v="56644.4"/>
    <n v="1141.1500000000001"/>
    <n v="17403842700"/>
    <n v="115045574580"/>
    <n v="870192135"/>
    <n v="39867061.22194384"/>
    <n v="287"/>
    <n v="20"/>
    <d v="2025-05-22T00:00:00"/>
    <s v="jueves"/>
    <x v="9"/>
    <n v="77.62"/>
    <n v="3.9761324041811852"/>
    <x v="0"/>
    <s v="Normal"/>
  </r>
  <r>
    <n v="439"/>
    <x v="0"/>
    <x v="3"/>
    <x v="0"/>
    <x v="0"/>
    <x v="0"/>
    <x v="2"/>
    <n v="5868.94"/>
    <n v="1798.41"/>
    <n v="56645.22"/>
    <n v="938.61"/>
    <n v="17205730200"/>
    <n v="89094302100"/>
    <n v="637249266.66666663"/>
    <n v="15180646.266617142"/>
    <n v="233"/>
    <n v="27"/>
    <d v="2025-07-23T00:00:00"/>
    <s v="miércoles"/>
    <x v="6"/>
    <n v="84.31"/>
    <n v="4.0283690987124467"/>
    <x v="0"/>
    <s v="Crítica"/>
  </r>
  <r>
    <n v="89"/>
    <x v="1"/>
    <x v="3"/>
    <x v="1"/>
    <x v="0"/>
    <x v="0"/>
    <x v="1"/>
    <n v="4285.43"/>
    <n v="2282.36"/>
    <n v="56666.91"/>
    <n v="882.31"/>
    <n v="8223009750"/>
    <n v="171391903110"/>
    <n v="328920390"/>
    <n v="39994097.000767715"/>
    <n v="269"/>
    <n v="25"/>
    <d v="2023-07-20T00:00:00"/>
    <s v="jueves"/>
    <x v="6"/>
    <n v="71.62"/>
    <n v="3.27996282527881"/>
    <x v="2"/>
    <s v="Normal"/>
  </r>
  <r>
    <n v="318"/>
    <x v="1"/>
    <x v="2"/>
    <x v="1"/>
    <x v="0"/>
    <x v="1"/>
    <x v="2"/>
    <n v="3110.12"/>
    <n v="2752.61"/>
    <n v="56706.87"/>
    <n v="1013.16"/>
    <n v="3362881950"/>
    <n v="93354152670"/>
    <n v="134515278"/>
    <n v="30016254.250639848"/>
    <n v="160"/>
    <n v="25"/>
    <d v="2024-01-05T00:00:00"/>
    <s v="viernes"/>
    <x v="0"/>
    <n v="86.92"/>
    <n v="6.3322500000000002"/>
    <x v="0"/>
    <s v="Normal"/>
  </r>
  <r>
    <n v="49"/>
    <x v="1"/>
    <x v="2"/>
    <x v="1"/>
    <x v="1"/>
    <x v="0"/>
    <x v="0"/>
    <n v="5119.49"/>
    <n v="2073.94"/>
    <n v="56730.71"/>
    <n v="889.53"/>
    <n v="1982945880"/>
    <n v="153856102500"/>
    <n v="73442440"/>
    <n v="30053013.581430964"/>
    <n v="89"/>
    <n v="27"/>
    <d v="2023-06-11T00:00:00"/>
    <s v="domingo"/>
    <x v="4"/>
    <n v="74.48"/>
    <n v="9.9947191011235947"/>
    <x v="2"/>
    <s v="Normal"/>
  </r>
  <r>
    <n v="64"/>
    <x v="2"/>
    <x v="2"/>
    <x v="2"/>
    <x v="1"/>
    <x v="1"/>
    <x v="0"/>
    <n v="3220.5"/>
    <n v="1418.29"/>
    <n v="56854.97"/>
    <n v="903.03"/>
    <n v="33748770060"/>
    <n v="144900545040"/>
    <n v="1298029617.6923077"/>
    <n v="44993182.748020492"/>
    <n v="77"/>
    <n v="26"/>
    <d v="2024-10-08T00:00:00"/>
    <s v="martes"/>
    <x v="2"/>
    <n v="70.55"/>
    <n v="11.727662337662338"/>
    <x v="2"/>
    <s v="Normal"/>
  </r>
  <r>
    <n v="355"/>
    <x v="0"/>
    <x v="2"/>
    <x v="0"/>
    <x v="0"/>
    <x v="2"/>
    <x v="2"/>
    <n v="5560.09"/>
    <n v="2949.67"/>
    <n v="56881.68"/>
    <n v="350.36"/>
    <n v="36920322270"/>
    <n v="145269658260"/>
    <n v="1273114561.0344827"/>
    <n v="26127213.455177885"/>
    <n v="134"/>
    <n v="29"/>
    <d v="2024-01-20T00:00:00"/>
    <s v="sábado"/>
    <x v="0"/>
    <n v="70.8"/>
    <n v="2.6146268656716418"/>
    <x v="2"/>
    <s v="Normal"/>
  </r>
  <r>
    <n v="385"/>
    <x v="1"/>
    <x v="4"/>
    <x v="1"/>
    <x v="0"/>
    <x v="0"/>
    <x v="1"/>
    <n v="8318.2900000000009"/>
    <n v="3211.9"/>
    <n v="56891.85"/>
    <n v="1169.71"/>
    <n v="41975966160"/>
    <n v="89038743840"/>
    <n v="1447447108.9655173"/>
    <n v="10703972.071182899"/>
    <n v="55"/>
    <n v="29"/>
    <d v="2025-04-28T00:00:00"/>
    <s v="lunes"/>
    <x v="11"/>
    <n v="95.59"/>
    <n v="21.267454545454545"/>
    <x v="1"/>
    <s v="Normal"/>
  </r>
  <r>
    <n v="474"/>
    <x v="1"/>
    <x v="4"/>
    <x v="1"/>
    <x v="0"/>
    <x v="1"/>
    <x v="0"/>
    <n v="6806.1"/>
    <n v="2316.98"/>
    <n v="56898.43"/>
    <n v="1383.5"/>
    <n v="12907475100"/>
    <n v="71113836240"/>
    <n v="516299004"/>
    <n v="10448544.135407941"/>
    <n v="75"/>
    <n v="25"/>
    <d v="2024-11-17T00:00:00"/>
    <s v="domingo"/>
    <x v="5"/>
    <n v="71.47"/>
    <n v="18.446666666666665"/>
    <x v="2"/>
    <s v="Normal"/>
  </r>
  <r>
    <n v="446"/>
    <x v="0"/>
    <x v="3"/>
    <x v="0"/>
    <x v="1"/>
    <x v="1"/>
    <x v="2"/>
    <n v="5562.61"/>
    <n v="2132.04"/>
    <n v="57015.68"/>
    <n v="819.19"/>
    <n v="42538212360"/>
    <n v="9922140000"/>
    <n v="1849487493.9130435"/>
    <n v="1783720.2320493439"/>
    <n v="74"/>
    <n v="23"/>
    <d v="2024-08-10T00:00:00"/>
    <s v="sábado"/>
    <x v="8"/>
    <n v="82.16"/>
    <n v="11.070135135135136"/>
    <x v="0"/>
    <s v="Normal"/>
  </r>
  <r>
    <n v="180"/>
    <x v="2"/>
    <x v="0"/>
    <x v="2"/>
    <x v="1"/>
    <x v="0"/>
    <x v="0"/>
    <n v="3242.99"/>
    <n v="2681.29"/>
    <n v="57105.22"/>
    <n v="595.14"/>
    <n v="6181219260"/>
    <n v="803995583220"/>
    <n v="268748663.47826087"/>
    <n v="247917996.42305404"/>
    <n v="63"/>
    <n v="23"/>
    <d v="2024-04-17T00:00:00"/>
    <s v="miércoles"/>
    <x v="11"/>
    <n v="85.72"/>
    <n v="9.4466666666666672"/>
    <x v="0"/>
    <s v="Normal"/>
  </r>
  <r>
    <n v="366"/>
    <x v="1"/>
    <x v="4"/>
    <x v="1"/>
    <x v="1"/>
    <x v="2"/>
    <x v="1"/>
    <n v="6396.51"/>
    <n v="2068.92"/>
    <n v="57303.02"/>
    <n v="560.14"/>
    <n v="43977910140"/>
    <n v="709108340100"/>
    <n v="1832412922.5"/>
    <n v="110858630.73769915"/>
    <n v="292"/>
    <n v="24"/>
    <d v="2025-07-17T00:00:00"/>
    <s v="jueves"/>
    <x v="6"/>
    <n v="98.87"/>
    <n v="1.9182876712328767"/>
    <x v="1"/>
    <s v="Normal"/>
  </r>
  <r>
    <n v="198"/>
    <x v="2"/>
    <x v="0"/>
    <x v="2"/>
    <x v="0"/>
    <x v="0"/>
    <x v="2"/>
    <n v="2630.42"/>
    <n v="1435.91"/>
    <n v="57320.71"/>
    <n v="1408.79"/>
    <n v="39903908220"/>
    <n v="112103969850"/>
    <n v="1995195411"/>
    <n v="42618277.632469341"/>
    <n v="205"/>
    <n v="20"/>
    <d v="2023-09-26T00:00:00"/>
    <s v="martes"/>
    <x v="10"/>
    <n v="79.91"/>
    <n v="6.8721463414634147"/>
    <x v="0"/>
    <s v="Crítica"/>
  </r>
  <r>
    <n v="17"/>
    <x v="0"/>
    <x v="3"/>
    <x v="0"/>
    <x v="0"/>
    <x v="2"/>
    <x v="0"/>
    <n v="5326.26"/>
    <n v="2255.11"/>
    <n v="57356.71"/>
    <n v="1256.1199999999999"/>
    <n v="37058622840"/>
    <n v="125478500760"/>
    <n v="1425331647.6923077"/>
    <n v="23558463.304457534"/>
    <n v="61"/>
    <n v="26"/>
    <d v="2023-09-10T00:00:00"/>
    <s v="domingo"/>
    <x v="10"/>
    <n v="84.92"/>
    <n v="20.592131147540982"/>
    <x v="0"/>
    <s v="Normal"/>
  </r>
  <r>
    <n v="99"/>
    <x v="0"/>
    <x v="2"/>
    <x v="0"/>
    <x v="0"/>
    <x v="0"/>
    <x v="0"/>
    <n v="2451.4899999999998"/>
    <n v="1860.4"/>
    <n v="57501.79"/>
    <n v="781.44"/>
    <n v="42999331770"/>
    <n v="89426597850"/>
    <n v="1954515080.4545455"/>
    <n v="36478467.319874853"/>
    <n v="287"/>
    <n v="22"/>
    <d v="2024-12-26T00:00:00"/>
    <s v="jueves"/>
    <x v="3"/>
    <n v="87.23"/>
    <n v="2.7227874564459933"/>
    <x v="0"/>
    <s v="Normal"/>
  </r>
  <r>
    <n v="403"/>
    <x v="0"/>
    <x v="0"/>
    <x v="0"/>
    <x v="1"/>
    <x v="1"/>
    <x v="1"/>
    <n v="6282.35"/>
    <n v="2220.5100000000002"/>
    <n v="57532.46"/>
    <n v="876.81"/>
    <n v="9418340610"/>
    <n v="55960919640"/>
    <n v="313944687"/>
    <n v="8907641.1915923171"/>
    <n v="62"/>
    <n v="30"/>
    <d v="2025-01-08T00:00:00"/>
    <s v="miércoles"/>
    <x v="0"/>
    <n v="88.52"/>
    <n v="14.142096774193547"/>
    <x v="0"/>
    <s v="Normal"/>
  </r>
  <r>
    <n v="14"/>
    <x v="0"/>
    <x v="2"/>
    <x v="0"/>
    <x v="1"/>
    <x v="1"/>
    <x v="0"/>
    <n v="8454.3700000000008"/>
    <n v="1306.8900000000001"/>
    <n v="57571.51"/>
    <n v="1401.35"/>
    <n v="4921849260"/>
    <n v="7548784100"/>
    <n v="196873970.40000001"/>
    <n v="892885.4663327958"/>
    <n v="280"/>
    <n v="25"/>
    <d v="2023-10-04T00:00:00"/>
    <s v="miércoles"/>
    <x v="2"/>
    <n v="72.680000000000007"/>
    <n v="5.0048214285714279"/>
    <x v="2"/>
    <s v="Normal"/>
  </r>
  <r>
    <n v="419"/>
    <x v="1"/>
    <x v="4"/>
    <x v="1"/>
    <x v="1"/>
    <x v="0"/>
    <x v="1"/>
    <n v="8683.66"/>
    <n v="1025.6300000000001"/>
    <n v="57571.69"/>
    <n v="1070.18"/>
    <n v="1891817100"/>
    <n v="54987877800"/>
    <n v="65235072.413793102"/>
    <n v="6332338.8755432619"/>
    <n v="77"/>
    <n v="29"/>
    <d v="2023-06-26T00:00:00"/>
    <s v="lunes"/>
    <x v="4"/>
    <n v="95.77"/>
    <n v="13.89844155844156"/>
    <x v="1"/>
    <s v="Normal"/>
  </r>
  <r>
    <n v="77"/>
    <x v="0"/>
    <x v="0"/>
    <x v="0"/>
    <x v="0"/>
    <x v="0"/>
    <x v="2"/>
    <n v="6000.81"/>
    <n v="1261.53"/>
    <n v="57633.87"/>
    <n v="1056.1500000000001"/>
    <n v="7894220040"/>
    <n v="1041213691020"/>
    <n v="272214484.13793105"/>
    <n v="173512191.02421173"/>
    <n v="241"/>
    <n v="29"/>
    <d v="2023-03-31T00:00:00"/>
    <s v="viernes"/>
    <x v="7"/>
    <n v="81.099999999999994"/>
    <n v="4.3823651452282162"/>
    <x v="0"/>
    <s v="Crítica"/>
  </r>
  <r>
    <n v="485"/>
    <x v="1"/>
    <x v="0"/>
    <x v="1"/>
    <x v="0"/>
    <x v="0"/>
    <x v="2"/>
    <n v="6857.82"/>
    <n v="2511.41"/>
    <n v="57646.03"/>
    <n v="805.81"/>
    <n v="17268417990"/>
    <n v="61494705900"/>
    <n v="575613933"/>
    <n v="8967092.4433712177"/>
    <n v="225"/>
    <n v="30"/>
    <d v="2024-11-15T00:00:00"/>
    <s v="viernes"/>
    <x v="5"/>
    <n v="88.04"/>
    <n v="3.5813777777777775"/>
    <x v="0"/>
    <s v="Normal"/>
  </r>
  <r>
    <n v="353"/>
    <x v="1"/>
    <x v="0"/>
    <x v="1"/>
    <x v="1"/>
    <x v="2"/>
    <x v="2"/>
    <n v="6002.7"/>
    <n v="2505.4699999999998"/>
    <n v="57677.11"/>
    <n v="1430.63"/>
    <n v="20688332670"/>
    <n v="92797929090"/>
    <n v="899492724.78260875"/>
    <n v="15459364.800839623"/>
    <n v="270"/>
    <n v="23"/>
    <d v="2024-03-07T00:00:00"/>
    <s v="jueves"/>
    <x v="7"/>
    <n v="91.94"/>
    <n v="5.2986296296296302"/>
    <x v="1"/>
    <s v="Normal"/>
  </r>
  <r>
    <n v="65"/>
    <x v="2"/>
    <x v="2"/>
    <x v="2"/>
    <x v="1"/>
    <x v="0"/>
    <x v="0"/>
    <n v="8896.56"/>
    <n v="2435.46"/>
    <n v="57730.28"/>
    <n v="1322.62"/>
    <n v="9764678700"/>
    <n v="70704955080"/>
    <n v="424551247.82608694"/>
    <n v="7947448.7981871646"/>
    <n v="98"/>
    <n v="23"/>
    <d v="2025-05-28T00:00:00"/>
    <s v="miércoles"/>
    <x v="9"/>
    <n v="90"/>
    <n v="13.496122448979591"/>
    <x v="0"/>
    <s v="Normal"/>
  </r>
  <r>
    <n v="122"/>
    <x v="2"/>
    <x v="3"/>
    <x v="2"/>
    <x v="0"/>
    <x v="1"/>
    <x v="0"/>
    <n v="5198.8500000000004"/>
    <n v="1930.01"/>
    <n v="57843.519999999997"/>
    <n v="566.83000000000004"/>
    <n v="42341881860"/>
    <n v="173439915300"/>
    <n v="1924630993.6363637"/>
    <n v="33361207.824807405"/>
    <n v="138"/>
    <n v="22"/>
    <d v="2025-11-25T00:00:00"/>
    <s v="martes"/>
    <x v="5"/>
    <n v="73.63"/>
    <n v="4.1074637681159425"/>
    <x v="2"/>
    <s v="Normal"/>
  </r>
  <r>
    <n v="62"/>
    <x v="1"/>
    <x v="3"/>
    <x v="1"/>
    <x v="1"/>
    <x v="1"/>
    <x v="1"/>
    <n v="1442.58"/>
    <n v="2021.67"/>
    <n v="57957.19"/>
    <n v="933.92"/>
    <n v="12686166360"/>
    <n v="120434336910"/>
    <n v="469858013.33333331"/>
    <n v="83485378.218192413"/>
    <n v="187"/>
    <n v="27"/>
    <d v="2023-10-23T00:00:00"/>
    <s v="lunes"/>
    <x v="2"/>
    <n v="89.27"/>
    <n v="4.9942245989304812"/>
    <x v="0"/>
    <s v="Normal"/>
  </r>
  <r>
    <n v="29"/>
    <x v="2"/>
    <x v="3"/>
    <x v="2"/>
    <x v="1"/>
    <x v="2"/>
    <x v="1"/>
    <n v="4534.4799999999996"/>
    <n v="2116"/>
    <n v="57979.47"/>
    <n v="1449.21"/>
    <n v="11636206470"/>
    <n v="63401452020"/>
    <n v="401248498.96551722"/>
    <n v="13982077.772975072"/>
    <n v="120"/>
    <n v="29"/>
    <d v="2024-07-16T00:00:00"/>
    <s v="martes"/>
    <x v="6"/>
    <n v="84.01"/>
    <n v="12.076750000000001"/>
    <x v="0"/>
    <s v="Normal"/>
  </r>
  <r>
    <n v="397"/>
    <x v="1"/>
    <x v="4"/>
    <x v="1"/>
    <x v="1"/>
    <x v="1"/>
    <x v="1"/>
    <n v="5134.41"/>
    <n v="1669.59"/>
    <n v="58068.31"/>
    <n v="1311.82"/>
    <n v="1350061417738.8899"/>
    <n v="11662627050"/>
    <n v="58698322510.38652"/>
    <n v="2271463.9169836459"/>
    <n v="263"/>
    <n v="23"/>
    <d v="2025-10-17T00:00:00"/>
    <s v="viernes"/>
    <x v="2"/>
    <n v="77.45"/>
    <n v="4.9879087452471484"/>
    <x v="0"/>
    <s v="Normal"/>
  </r>
  <r>
    <n v="351"/>
    <x v="2"/>
    <x v="2"/>
    <x v="2"/>
    <x v="1"/>
    <x v="2"/>
    <x v="0"/>
    <n v="4845.7299999999996"/>
    <n v="1991.84"/>
    <n v="58096.74"/>
    <n v="1031.18"/>
    <n v="13289552370"/>
    <n v="166659582330"/>
    <n v="531582094.80000001"/>
    <n v="34393080.574031159"/>
    <n v="209"/>
    <n v="25"/>
    <d v="2023-08-06T00:00:00"/>
    <s v="domingo"/>
    <x v="8"/>
    <n v="91.47"/>
    <n v="4.9338755980861251"/>
    <x v="1"/>
    <s v="Normal"/>
  </r>
  <r>
    <n v="123"/>
    <x v="1"/>
    <x v="4"/>
    <x v="1"/>
    <x v="1"/>
    <x v="1"/>
    <x v="0"/>
    <n v="5236.04"/>
    <n v="2279.0300000000002"/>
    <n v="58104.91"/>
    <n v="1052.0999999999999"/>
    <n v="105041698290056"/>
    <n v="106509353040"/>
    <n v="3501389943001.8667"/>
    <n v="20341585.060465544"/>
    <n v="225"/>
    <n v="30"/>
    <d v="2024-05-30T00:00:00"/>
    <s v="jueves"/>
    <x v="9"/>
    <n v="81.08"/>
    <n v="4.6759999999999993"/>
    <x v="0"/>
    <s v="Normal"/>
  </r>
  <r>
    <n v="135"/>
    <x v="1"/>
    <x v="1"/>
    <x v="1"/>
    <x v="0"/>
    <x v="2"/>
    <x v="1"/>
    <n v="5344.44"/>
    <n v="2606.52"/>
    <n v="58146.13"/>
    <n v="734.21"/>
    <n v="845241450000"/>
    <n v="129015089370"/>
    <n v="32509286538.46154"/>
    <n v="24140057.586950179"/>
    <n v="216"/>
    <n v="26"/>
    <d v="2024-11-27T00:00:00"/>
    <s v="miércoles"/>
    <x v="5"/>
    <n v="98.21"/>
    <n v="3.3991203703703707"/>
    <x v="1"/>
    <s v="Normal"/>
  </r>
  <r>
    <n v="422"/>
    <x v="0"/>
    <x v="3"/>
    <x v="0"/>
    <x v="1"/>
    <x v="2"/>
    <x v="0"/>
    <n v="4280.88"/>
    <n v="2984.63"/>
    <n v="58177.63"/>
    <n v="1268.5"/>
    <n v="33415213410"/>
    <n v="50330873430"/>
    <n v="1237600496.6666667"/>
    <n v="11757132.512474071"/>
    <n v="259"/>
    <n v="27"/>
    <d v="2023-03-17T00:00:00"/>
    <s v="viernes"/>
    <x v="7"/>
    <n v="97.02"/>
    <n v="4.897683397683398"/>
    <x v="1"/>
    <s v="Normal"/>
  </r>
  <r>
    <n v="143"/>
    <x v="0"/>
    <x v="3"/>
    <x v="0"/>
    <x v="0"/>
    <x v="2"/>
    <x v="0"/>
    <n v="4413.59"/>
    <n v="2141.46"/>
    <n v="58254.8"/>
    <n v="1256.94"/>
    <n v="24107305500"/>
    <n v="163118513250"/>
    <n v="1004471062.5"/>
    <n v="36958238.814661078"/>
    <n v="268"/>
    <n v="24"/>
    <d v="2025-04-30T00:00:00"/>
    <s v="miércoles"/>
    <x v="11"/>
    <n v="85.47"/>
    <n v="4.6900746268656714"/>
    <x v="0"/>
    <s v="Normal"/>
  </r>
  <r>
    <n v="258"/>
    <x v="0"/>
    <x v="4"/>
    <x v="0"/>
    <x v="0"/>
    <x v="0"/>
    <x v="0"/>
    <n v="4979.68"/>
    <n v="2783.93"/>
    <n v="58502.720000000001"/>
    <n v="1048.32"/>
    <n v="39909934170"/>
    <n v="115545015270"/>
    <n v="1376204626.5517242"/>
    <n v="23203301.270362753"/>
    <n v="291"/>
    <n v="29"/>
    <d v="2025-07-16T00:00:00"/>
    <s v="miércoles"/>
    <x v="6"/>
    <n v="83.76"/>
    <n v="3.6024742268041234"/>
    <x v="0"/>
    <s v="Normal"/>
  </r>
  <r>
    <n v="325"/>
    <x v="2"/>
    <x v="0"/>
    <x v="2"/>
    <x v="0"/>
    <x v="2"/>
    <x v="2"/>
    <n v="4298.43"/>
    <n v="2184.2399999999998"/>
    <n v="58588.72"/>
    <n v="992.01"/>
    <n v="21322473390"/>
    <n v="130105611180"/>
    <n v="1015355875.7142857"/>
    <n v="30268170.280776933"/>
    <n v="58"/>
    <n v="21"/>
    <d v="2025-11-10T00:00:00"/>
    <s v="lunes"/>
    <x v="5"/>
    <n v="83.15"/>
    <n v="17.103620689655173"/>
    <x v="0"/>
    <s v="Normal"/>
  </r>
  <r>
    <n v="299"/>
    <x v="0"/>
    <x v="3"/>
    <x v="0"/>
    <x v="0"/>
    <x v="1"/>
    <x v="1"/>
    <n v="3971.39"/>
    <n v="1358.45"/>
    <n v="58592.21"/>
    <n v="1161.19"/>
    <n v="39527707860"/>
    <n v="88984876500"/>
    <n v="1363024408.9655173"/>
    <n v="22406481.483812973"/>
    <n v="217"/>
    <n v="29"/>
    <d v="2023-12-07T00:00:00"/>
    <s v="jueves"/>
    <x v="3"/>
    <n v="84.19"/>
    <n v="5.3511059907834104"/>
    <x v="0"/>
    <s v="Normal"/>
  </r>
  <r>
    <n v="373"/>
    <x v="1"/>
    <x v="2"/>
    <x v="1"/>
    <x v="0"/>
    <x v="0"/>
    <x v="1"/>
    <n v="4832.72"/>
    <n v="1511.99"/>
    <n v="58639.09"/>
    <n v="1492.16"/>
    <n v="3157841250"/>
    <n v="147201076080"/>
    <n v="116957083.33333333"/>
    <n v="30459260.226125244"/>
    <n v="188"/>
    <n v="27"/>
    <d v="2024-11-20T00:00:00"/>
    <s v="miércoles"/>
    <x v="5"/>
    <n v="71.790000000000006"/>
    <n v="7.9370212765957451"/>
    <x v="2"/>
    <s v="Normal"/>
  </r>
  <r>
    <n v="205"/>
    <x v="2"/>
    <x v="3"/>
    <x v="2"/>
    <x v="1"/>
    <x v="0"/>
    <x v="2"/>
    <n v="7944.23"/>
    <n v="1892.83"/>
    <n v="58653.11"/>
    <n v="881.07"/>
    <n v="4443881850"/>
    <n v="172082900430"/>
    <n v="177755274"/>
    <n v="21661369.37500551"/>
    <n v="145"/>
    <n v="25"/>
    <d v="2023-04-09T00:00:00"/>
    <s v="domingo"/>
    <x v="11"/>
    <n v="92.2"/>
    <n v="6.0763448275862073"/>
    <x v="1"/>
    <s v="Crítica"/>
  </r>
  <r>
    <n v="356"/>
    <x v="0"/>
    <x v="1"/>
    <x v="0"/>
    <x v="0"/>
    <x v="2"/>
    <x v="2"/>
    <n v="5760.52"/>
    <n v="2164.81"/>
    <n v="58738.83"/>
    <n v="1091.3900000000001"/>
    <n v="35133733800"/>
    <n v="137748630330"/>
    <n v="1254776207.1428571"/>
    <n v="23912533.995194875"/>
    <n v="217"/>
    <n v="28"/>
    <d v="2023-12-23T00:00:00"/>
    <s v="sábado"/>
    <x v="3"/>
    <n v="81.709999999999994"/>
    <n v="5.0294470046082953"/>
    <x v="0"/>
    <s v="Normal"/>
  </r>
  <r>
    <n v="335"/>
    <x v="2"/>
    <x v="3"/>
    <x v="2"/>
    <x v="1"/>
    <x v="2"/>
    <x v="1"/>
    <n v="3678.34"/>
    <n v="1197.28"/>
    <n v="59027.9"/>
    <n v="979.9"/>
    <n v="8221900410"/>
    <n v="102364236360"/>
    <n v="373722745.90909094"/>
    <n v="27828921.839742925"/>
    <n v="121"/>
    <n v="22"/>
    <d v="2024-12-04T00:00:00"/>
    <s v="miércoles"/>
    <x v="3"/>
    <n v="91.1"/>
    <n v="8.0983471074380162"/>
    <x v="1"/>
    <s v="Normal"/>
  </r>
  <r>
    <n v="13"/>
    <x v="1"/>
    <x v="4"/>
    <x v="1"/>
    <x v="1"/>
    <x v="2"/>
    <x v="0"/>
    <n v="3582.96"/>
    <n v="2463.86"/>
    <n v="59289.5"/>
    <n v="1243.58"/>
    <n v="38454918840"/>
    <n v="7967498670"/>
    <n v="1602288285"/>
    <n v="2223719.6814923971"/>
    <n v="173"/>
    <n v="24"/>
    <d v="2025-05-28T00:00:00"/>
    <s v="miércoles"/>
    <x v="9"/>
    <n v="77.56"/>
    <n v="7.1883236994219653"/>
    <x v="0"/>
    <s v="Normal"/>
  </r>
  <r>
    <n v="182"/>
    <x v="0"/>
    <x v="1"/>
    <x v="0"/>
    <x v="0"/>
    <x v="0"/>
    <x v="0"/>
    <n v="6290.14"/>
    <n v="2329.6799999999998"/>
    <n v="59309.43"/>
    <n v="1382.5"/>
    <n v="28772702820"/>
    <n v="92134285110"/>
    <n v="1150908112.8"/>
    <n v="14647414.065505695"/>
    <n v="103"/>
    <n v="25"/>
    <d v="2023-09-20T00:00:00"/>
    <s v="miércoles"/>
    <x v="10"/>
    <n v="74.290000000000006"/>
    <n v="13.422330097087379"/>
    <x v="2"/>
    <s v="Normal"/>
  </r>
  <r>
    <n v="191"/>
    <x v="2"/>
    <x v="2"/>
    <x v="2"/>
    <x v="0"/>
    <x v="2"/>
    <x v="1"/>
    <n v="7439.78"/>
    <n v="1675.91"/>
    <n v="59346.93"/>
    <n v="1293.27"/>
    <n v="38012049810"/>
    <n v="130967129520"/>
    <n v="1520481992.4000001"/>
    <n v="17603629.343878448"/>
    <n v="240"/>
    <n v="25"/>
    <d v="2024-03-28T00:00:00"/>
    <s v="jueves"/>
    <x v="7"/>
    <n v="85.56"/>
    <n v="5.3886250000000002"/>
    <x v="0"/>
    <s v="Normal"/>
  </r>
  <r>
    <n v="380"/>
    <x v="1"/>
    <x v="4"/>
    <x v="1"/>
    <x v="0"/>
    <x v="1"/>
    <x v="0"/>
    <n v="6746.65"/>
    <n v="1325.66"/>
    <n v="59373.65"/>
    <n v="1258.1400000000001"/>
    <n v="3118960890"/>
    <n v="164267974440"/>
    <n v="103965363"/>
    <n v="24348080.075296629"/>
    <n v="153"/>
    <n v="30"/>
    <d v="2025-11-26T00:00:00"/>
    <s v="miércoles"/>
    <x v="5"/>
    <n v="78.099999999999994"/>
    <n v="8.2231372549019621"/>
    <x v="0"/>
    <s v="Normal"/>
  </r>
  <r>
    <n v="97"/>
    <x v="1"/>
    <x v="4"/>
    <x v="1"/>
    <x v="0"/>
    <x v="2"/>
    <x v="1"/>
    <n v="8752.5499999999993"/>
    <n v="1756.28"/>
    <n v="59492.36"/>
    <n v="1079.3900000000001"/>
    <n v="34134683940"/>
    <n v="108346450860"/>
    <n v="1422278497.5"/>
    <n v="12378843.978040686"/>
    <n v="217"/>
    <n v="24"/>
    <d v="2023-04-09T00:00:00"/>
    <s v="domingo"/>
    <x v="11"/>
    <n v="96.23"/>
    <n v="4.9741474654377882"/>
    <x v="1"/>
    <s v="Normal"/>
  </r>
  <r>
    <n v="396"/>
    <x v="0"/>
    <x v="4"/>
    <x v="0"/>
    <x v="1"/>
    <x v="0"/>
    <x v="1"/>
    <n v="5087.6000000000004"/>
    <n v="1523.26"/>
    <n v="59493.760000000002"/>
    <n v="911.85"/>
    <n v="13224163680"/>
    <n v="43023697290"/>
    <n v="489783840"/>
    <n v="8456580.1733626854"/>
    <n v="117"/>
    <n v="27"/>
    <d v="2024-12-29T00:00:00"/>
    <s v="domingo"/>
    <x v="3"/>
    <n v="72.599999999999994"/>
    <n v="7.7935897435897434"/>
    <x v="2"/>
    <s v="Normal"/>
  </r>
  <r>
    <n v="292"/>
    <x v="0"/>
    <x v="0"/>
    <x v="0"/>
    <x v="0"/>
    <x v="1"/>
    <x v="1"/>
    <n v="5567.85"/>
    <n v="2085.1"/>
    <n v="59550.27"/>
    <n v="997.75"/>
    <n v="18400230000"/>
    <n v="70843213890"/>
    <n v="681490000"/>
    <n v="12723621.126646729"/>
    <n v="220"/>
    <n v="27"/>
    <d v="2024-07-28T00:00:00"/>
    <s v="domingo"/>
    <x v="6"/>
    <n v="75.349999999999994"/>
    <n v="4.5352272727272727"/>
    <x v="0"/>
    <s v="Normal"/>
  </r>
  <r>
    <n v="76"/>
    <x v="1"/>
    <x v="2"/>
    <x v="1"/>
    <x v="1"/>
    <x v="1"/>
    <x v="0"/>
    <n v="4321.51"/>
    <n v="2529.2600000000002"/>
    <n v="59563.79"/>
    <n v="985.54"/>
    <n v="43677995220"/>
    <n v="168625749870"/>
    <n v="1747119808.8"/>
    <n v="39020099.42589511"/>
    <n v="131"/>
    <n v="25"/>
    <d v="2024-10-10T00:00:00"/>
    <s v="jueves"/>
    <x v="2"/>
    <n v="98.49"/>
    <n v="7.5232061068702292"/>
    <x v="1"/>
    <s v="Normal"/>
  </r>
  <r>
    <n v="241"/>
    <x v="0"/>
    <x v="1"/>
    <x v="0"/>
    <x v="0"/>
    <x v="1"/>
    <x v="0"/>
    <n v="4130.45"/>
    <n v="1133.27"/>
    <n v="59592.72"/>
    <n v="857.59"/>
    <n v="13706973090"/>
    <n v="1183544555700"/>
    <n v="489534753.21428573"/>
    <n v="286541310.43832999"/>
    <n v="219"/>
    <n v="28"/>
    <d v="2023-01-17T00:00:00"/>
    <s v="martes"/>
    <x v="0"/>
    <n v="90.21"/>
    <n v="3.9159360730593611"/>
    <x v="1"/>
    <s v="Normal"/>
  </r>
  <r>
    <n v="201"/>
    <x v="2"/>
    <x v="2"/>
    <x v="2"/>
    <x v="0"/>
    <x v="2"/>
    <x v="2"/>
    <n v="3010.32"/>
    <n v="2396.0100000000002"/>
    <n v="59633.65"/>
    <n v="999.35"/>
    <n v="33191927370"/>
    <n v="93372960690"/>
    <n v="1659596368.5"/>
    <n v="31017619.618512318"/>
    <n v="295"/>
    <n v="20"/>
    <d v="2024-08-09T00:00:00"/>
    <s v="viernes"/>
    <x v="8"/>
    <n v="90.7"/>
    <n v="3.3876271186440681"/>
    <x v="1"/>
    <s v="Normal"/>
  </r>
  <r>
    <n v="297"/>
    <x v="0"/>
    <x v="4"/>
    <x v="0"/>
    <x v="1"/>
    <x v="1"/>
    <x v="1"/>
    <n v="7313.38"/>
    <n v="1427.56"/>
    <n v="59695.48"/>
    <n v="1224.73"/>
    <n v="34324500060"/>
    <n v="112718713320"/>
    <n v="1430187502.5"/>
    <n v="15412670.108759562"/>
    <n v="104"/>
    <n v="24"/>
    <d v="2024-10-09T00:00:00"/>
    <s v="miércoles"/>
    <x v="2"/>
    <n v="89.26"/>
    <n v="11.776250000000001"/>
    <x v="0"/>
    <s v="Normal"/>
  </r>
  <r>
    <n v="497"/>
    <x v="2"/>
    <x v="1"/>
    <x v="2"/>
    <x v="1"/>
    <x v="2"/>
    <x v="1"/>
    <n v="4981.58"/>
    <n v="1954.51"/>
    <n v="59825.65"/>
    <n v="1363.85"/>
    <n v="42074691660"/>
    <n v="18468157050"/>
    <n v="2103734583"/>
    <n v="3707289.0629077521"/>
    <n v="133"/>
    <n v="20"/>
    <d v="2024-11-29T00:00:00"/>
    <s v="viernes"/>
    <x v="5"/>
    <n v="72.47"/>
    <n v="10.254511278195489"/>
    <x v="2"/>
    <s v="Normal"/>
  </r>
  <r>
    <n v="381"/>
    <x v="2"/>
    <x v="2"/>
    <x v="2"/>
    <x v="0"/>
    <x v="2"/>
    <x v="1"/>
    <n v="7007.17"/>
    <n v="1314.94"/>
    <n v="59950.57"/>
    <n v="1623.21"/>
    <n v="28770155010"/>
    <n v="1373319041940"/>
    <n v="1106544423.4615386"/>
    <n v="195987687.17470819"/>
    <n v="132"/>
    <n v="26"/>
    <d v="2023-11-14T00:00:00"/>
    <s v="martes"/>
    <x v="5"/>
    <n v="80.709999999999994"/>
    <n v="12.297045454545454"/>
    <x v="0"/>
    <s v="Normal"/>
  </r>
  <r>
    <n v="166"/>
    <x v="0"/>
    <x v="2"/>
    <x v="0"/>
    <x v="0"/>
    <x v="0"/>
    <x v="0"/>
    <n v="6096.82"/>
    <n v="2497.6799999999998"/>
    <n v="59951.41"/>
    <n v="1351.43"/>
    <n v="13930213770"/>
    <n v="157264495200"/>
    <n v="480352198.96551722"/>
    <n v="25794511.761869304"/>
    <n v="273"/>
    <n v="29"/>
    <d v="2023-07-06T00:00:00"/>
    <s v="jueves"/>
    <x v="6"/>
    <n v="88.09"/>
    <n v="4.9502930402930403"/>
    <x v="0"/>
    <s v="Normal"/>
  </r>
  <r>
    <n v="449"/>
    <x v="1"/>
    <x v="0"/>
    <x v="1"/>
    <x v="0"/>
    <x v="0"/>
    <x v="0"/>
    <n v="5653.33"/>
    <n v="2515.5500000000002"/>
    <n v="60013.91"/>
    <n v="1070.1199999999999"/>
    <n v="32317841520"/>
    <n v="99837716580"/>
    <n v="1615892076"/>
    <n v="17659983.864377279"/>
    <n v="299"/>
    <n v="20"/>
    <d v="2024-05-06T00:00:00"/>
    <s v="lunes"/>
    <x v="9"/>
    <n v="76.25"/>
    <n v="3.5789966555183943"/>
    <x v="0"/>
    <s v="Normal"/>
  </r>
  <r>
    <n v="339"/>
    <x v="2"/>
    <x v="4"/>
    <x v="2"/>
    <x v="1"/>
    <x v="1"/>
    <x v="2"/>
    <n v="5101.63"/>
    <n v="2242.5500000000002"/>
    <n v="60025.09"/>
    <n v="1463.83"/>
    <n v="30957370290"/>
    <n v="116758215990"/>
    <n v="1345972621.3043478"/>
    <n v="22886453.15124774"/>
    <n v="114"/>
    <n v="23"/>
    <d v="2023-09-04T00:00:00"/>
    <s v="lunes"/>
    <x v="10"/>
    <n v="75.819999999999993"/>
    <n v="12.840614035087718"/>
    <x v="0"/>
    <s v="Normal"/>
  </r>
  <r>
    <n v="430"/>
    <x v="1"/>
    <x v="3"/>
    <x v="1"/>
    <x v="1"/>
    <x v="2"/>
    <x v="1"/>
    <n v="4006.83"/>
    <n v="2371.1999999999998"/>
    <n v="60119.96"/>
    <n v="979.63"/>
    <n v="43296978690"/>
    <n v="168667529130"/>
    <n v="1882477334.347826"/>
    <n v="42095005.061357729"/>
    <n v="257"/>
    <n v="23"/>
    <d v="2025-12-28T00:00:00"/>
    <s v="domingo"/>
    <x v="3"/>
    <n v="81.790000000000006"/>
    <n v="3.8117898832684824"/>
    <x v="0"/>
    <s v="Normal"/>
  </r>
  <r>
    <n v="312"/>
    <x v="2"/>
    <x v="1"/>
    <x v="2"/>
    <x v="0"/>
    <x v="1"/>
    <x v="0"/>
    <n v="6493.32"/>
    <n v="1857.8"/>
    <n v="60190.43"/>
    <n v="970.19"/>
    <n v="10258634340"/>
    <n v="993770069460"/>
    <n v="446027580"/>
    <n v="153044986.14884222"/>
    <n v="207"/>
    <n v="23"/>
    <d v="2023-02-16T00:00:00"/>
    <s v="jueves"/>
    <x v="1"/>
    <n v="78.17"/>
    <n v="4.6869082125603869"/>
    <x v="0"/>
    <s v="Normal"/>
  </r>
  <r>
    <n v="310"/>
    <x v="2"/>
    <x v="4"/>
    <x v="2"/>
    <x v="0"/>
    <x v="0"/>
    <x v="0"/>
    <n v="3859.78"/>
    <n v="1563.11"/>
    <n v="60434.61"/>
    <n v="1246.23"/>
    <n v="13363831260"/>
    <n v="107398979280"/>
    <n v="445461042"/>
    <n v="27825155.651358366"/>
    <n v="177"/>
    <n v="30"/>
    <d v="2025-09-18T00:00:00"/>
    <s v="jueves"/>
    <x v="10"/>
    <n v="82.44"/>
    <n v="7.0408474576271187"/>
    <x v="0"/>
    <s v="Normal"/>
  </r>
  <r>
    <n v="203"/>
    <x v="2"/>
    <x v="0"/>
    <x v="2"/>
    <x v="1"/>
    <x v="1"/>
    <x v="2"/>
    <n v="2819.86"/>
    <n v="2097.6"/>
    <n v="60566.09"/>
    <n v="653.91"/>
    <n v="140132949633256"/>
    <n v="35401338810"/>
    <n v="6369679528784.3633"/>
    <n v="12554289.507280502"/>
    <n v="257"/>
    <n v="22"/>
    <d v="2025-10-05T00:00:00"/>
    <s v="domingo"/>
    <x v="2"/>
    <n v="89.35"/>
    <n v="2.5443968871595328"/>
    <x v="0"/>
    <s v="Normal"/>
  </r>
  <r>
    <n v="435"/>
    <x v="1"/>
    <x v="3"/>
    <x v="1"/>
    <x v="0"/>
    <x v="1"/>
    <x v="1"/>
    <n v="3497.35"/>
    <n v="2281.7399999999998"/>
    <n v="60579.02"/>
    <n v="1071.8800000000001"/>
    <n v="27265107690"/>
    <n v="122034698100"/>
    <n v="1298338461.4285715"/>
    <n v="34893475.946073458"/>
    <n v="204"/>
    <n v="21"/>
    <d v="2024-07-22T00:00:00"/>
    <s v="lunes"/>
    <x v="6"/>
    <n v="97.72"/>
    <n v="5.2543137254901966"/>
    <x v="1"/>
    <s v="Normal"/>
  </r>
  <r>
    <n v="25"/>
    <x v="0"/>
    <x v="0"/>
    <x v="0"/>
    <x v="0"/>
    <x v="1"/>
    <x v="0"/>
    <n v="5400.58"/>
    <n v="1267.81"/>
    <n v="60917.72"/>
    <n v="1076.1600000000001"/>
    <n v="39460891590"/>
    <n v="171652352310"/>
    <n v="1517726599.6153846"/>
    <n v="31784058.806646693"/>
    <n v="287"/>
    <n v="26"/>
    <d v="2023-07-09T00:00:00"/>
    <s v="domingo"/>
    <x v="6"/>
    <n v="91.1"/>
    <n v="3.7496864111498263"/>
    <x v="1"/>
    <s v="Normal"/>
  </r>
  <r>
    <n v="290"/>
    <x v="2"/>
    <x v="3"/>
    <x v="2"/>
    <x v="0"/>
    <x v="1"/>
    <x v="2"/>
    <n v="7166.47"/>
    <n v="2199.1799999999998"/>
    <n v="60957.1"/>
    <n v="1090.43"/>
    <n v="39483121950"/>
    <n v="661664718540"/>
    <n v="1716657476.0869565"/>
    <n v="92327843.211511388"/>
    <n v="131"/>
    <n v="23"/>
    <d v="2025-05-03T00:00:00"/>
    <s v="sábado"/>
    <x v="9"/>
    <n v="79.53"/>
    <n v="8.3238931297709922"/>
    <x v="0"/>
    <s v="Normal"/>
  </r>
  <r>
    <n v="432"/>
    <x v="0"/>
    <x v="0"/>
    <x v="0"/>
    <x v="0"/>
    <x v="2"/>
    <x v="1"/>
    <n v="4774.49"/>
    <n v="2399.87"/>
    <n v="61022.61"/>
    <n v="988.94"/>
    <n v="37515779730"/>
    <n v="42856551720"/>
    <n v="1250525991"/>
    <n v="8976152.7869992405"/>
    <n v="181"/>
    <n v="30"/>
    <d v="2025-11-14T00:00:00"/>
    <s v="viernes"/>
    <x v="5"/>
    <n v="81"/>
    <n v="5.4637569060773483"/>
    <x v="0"/>
    <s v="Normal"/>
  </r>
  <r>
    <n v="319"/>
    <x v="1"/>
    <x v="2"/>
    <x v="1"/>
    <x v="0"/>
    <x v="1"/>
    <x v="1"/>
    <n v="3055.25"/>
    <n v="2245.0100000000002"/>
    <n v="61027.99"/>
    <n v="875.5"/>
    <n v="7669637910"/>
    <n v="163747220940"/>
    <n v="365220852.85714287"/>
    <n v="53595359.116275266"/>
    <n v="50"/>
    <n v="21"/>
    <d v="2024-09-27T00:00:00"/>
    <s v="viernes"/>
    <x v="10"/>
    <n v="91.31"/>
    <n v="17.510000000000002"/>
    <x v="1"/>
    <s v="Normal"/>
  </r>
  <r>
    <n v="382"/>
    <x v="2"/>
    <x v="4"/>
    <x v="2"/>
    <x v="1"/>
    <x v="2"/>
    <x v="1"/>
    <n v="7379.56"/>
    <n v="2321.35"/>
    <n v="61073.42"/>
    <n v="1426.38"/>
    <n v="22099568040"/>
    <n v="124451201790"/>
    <n v="920815335"/>
    <n v="16864311.935941979"/>
    <n v="152"/>
    <n v="24"/>
    <d v="2023-09-11T00:00:00"/>
    <s v="lunes"/>
    <x v="10"/>
    <n v="74.63"/>
    <n v="9.3840789473684225"/>
    <x v="2"/>
    <s v="Normal"/>
  </r>
  <r>
    <n v="240"/>
    <x v="0"/>
    <x v="4"/>
    <x v="0"/>
    <x v="0"/>
    <x v="0"/>
    <x v="0"/>
    <n v="5696.2"/>
    <n v="1752.9"/>
    <n v="61208.41"/>
    <n v="672.39"/>
    <n v="39538015020"/>
    <n v="282115746060"/>
    <n v="1520692885.3846154"/>
    <n v="49527008.54253713"/>
    <n v="176"/>
    <n v="26"/>
    <d v="2025-12-08T00:00:00"/>
    <s v="lunes"/>
    <x v="3"/>
    <n v="96.18"/>
    <n v="3.8203977272727272"/>
    <x v="1"/>
    <s v="Normal"/>
  </r>
  <r>
    <n v="242"/>
    <x v="0"/>
    <x v="0"/>
    <x v="0"/>
    <x v="1"/>
    <x v="1"/>
    <x v="1"/>
    <n v="4963.84"/>
    <n v="1003.23"/>
    <n v="61228.09"/>
    <n v="1309.94"/>
    <n v="33552933480"/>
    <n v="111983094090"/>
    <n v="1198319052.8571429"/>
    <n v="22559771.082468409"/>
    <n v="163"/>
    <n v="28"/>
    <d v="2023-06-07T00:00:00"/>
    <s v="miércoles"/>
    <x v="4"/>
    <n v="72.8"/>
    <n v="8.036441717791412"/>
    <x v="2"/>
    <s v="Normal"/>
  </r>
  <r>
    <n v="410"/>
    <x v="2"/>
    <x v="3"/>
    <x v="2"/>
    <x v="1"/>
    <x v="1"/>
    <x v="2"/>
    <n v="7296.1"/>
    <n v="1955.02"/>
    <n v="61304.04"/>
    <n v="1333.36"/>
    <n v="1814730300"/>
    <n v="110680377750"/>
    <n v="72589212"/>
    <n v="15169799.995888213"/>
    <n v="296"/>
    <n v="25"/>
    <d v="2023-08-05T00:00:00"/>
    <s v="sábado"/>
    <x v="8"/>
    <n v="95.93"/>
    <n v="4.504594594594594"/>
    <x v="1"/>
    <s v="Crítica"/>
  </r>
  <r>
    <n v="187"/>
    <x v="1"/>
    <x v="4"/>
    <x v="1"/>
    <x v="0"/>
    <x v="1"/>
    <x v="0"/>
    <n v="8773.32"/>
    <n v="2674.88"/>
    <n v="61665.09"/>
    <n v="1275.02"/>
    <n v="29855507580"/>
    <n v="176888516760"/>
    <n v="1066268127.8571428"/>
    <n v="20162095.621725868"/>
    <n v="126"/>
    <n v="28"/>
    <d v="2025-05-30T00:00:00"/>
    <s v="viernes"/>
    <x v="9"/>
    <n v="97.98"/>
    <n v="10.119206349206349"/>
    <x v="1"/>
    <s v="Normal"/>
  </r>
  <r>
    <n v="400"/>
    <x v="1"/>
    <x v="2"/>
    <x v="1"/>
    <x v="1"/>
    <x v="0"/>
    <x v="2"/>
    <n v="2548.56"/>
    <n v="2685.43"/>
    <n v="61767.3"/>
    <n v="1392.49"/>
    <n v="4579062660"/>
    <n v="177797696670"/>
    <n v="152635422"/>
    <n v="69763983.061022699"/>
    <n v="92"/>
    <n v="30"/>
    <d v="2025-10-13T00:00:00"/>
    <s v="lunes"/>
    <x v="2"/>
    <n v="75.77"/>
    <n v="15.135760869565217"/>
    <x v="0"/>
    <s v="Normal"/>
  </r>
  <r>
    <n v="246"/>
    <x v="1"/>
    <x v="1"/>
    <x v="1"/>
    <x v="1"/>
    <x v="1"/>
    <x v="2"/>
    <n v="7351.03"/>
    <n v="2182.0700000000002"/>
    <n v="62253.22"/>
    <n v="1240.8800000000001"/>
    <n v="13490863650"/>
    <n v="179748374490"/>
    <n v="465202194.82758623"/>
    <n v="24452134.529446896"/>
    <n v="254"/>
    <n v="29"/>
    <d v="2023-04-09T00:00:00"/>
    <s v="domingo"/>
    <x v="11"/>
    <n v="93.27"/>
    <n v="4.8853543307086618"/>
    <x v="1"/>
    <s v="Normal"/>
  </r>
  <r>
    <n v="433"/>
    <x v="0"/>
    <x v="3"/>
    <x v="0"/>
    <x v="1"/>
    <x v="1"/>
    <x v="1"/>
    <n v="4307.5600000000004"/>
    <n v="1809.46"/>
    <n v="62304.639999999999"/>
    <n v="929.13"/>
    <n v="61177634111056.398"/>
    <n v="163996583310"/>
    <n v="2039254470368.5466"/>
    <n v="38071804.759539038"/>
    <n v="215"/>
    <n v="30"/>
    <d v="2025-08-05T00:00:00"/>
    <s v="martes"/>
    <x v="8"/>
    <n v="71.37"/>
    <n v="4.32153488372093"/>
    <x v="2"/>
    <s v="Normal"/>
  </r>
  <r>
    <n v="491"/>
    <x v="2"/>
    <x v="0"/>
    <x v="2"/>
    <x v="1"/>
    <x v="2"/>
    <x v="0"/>
    <n v="7534.46"/>
    <n v="3033.11"/>
    <n v="62367.89"/>
    <n v="1061.99"/>
    <n v="33914537730"/>
    <n v="22183756020"/>
    <n v="1541569896.8181818"/>
    <n v="2944306.0312218792"/>
    <n v="115"/>
    <n v="22"/>
    <d v="2023-07-22T00:00:00"/>
    <s v="sábado"/>
    <x v="6"/>
    <n v="71.81"/>
    <n v="9.2346956521739134"/>
    <x v="2"/>
    <s v="Normal"/>
  </r>
  <r>
    <n v="494"/>
    <x v="1"/>
    <x v="0"/>
    <x v="1"/>
    <x v="1"/>
    <x v="0"/>
    <x v="0"/>
    <n v="2692.95"/>
    <n v="2016.63"/>
    <n v="62617.56"/>
    <n v="676.64"/>
    <n v="31537745910"/>
    <n v="57608627760"/>
    <n v="1576887295.5"/>
    <n v="21392386.698601905"/>
    <n v="171"/>
    <n v="20"/>
    <d v="2023-10-11T00:00:00"/>
    <s v="miércoles"/>
    <x v="2"/>
    <n v="74.11"/>
    <n v="3.9569590643274855"/>
    <x v="2"/>
    <s v="Normal"/>
  </r>
  <r>
    <n v="487"/>
    <x v="0"/>
    <x v="0"/>
    <x v="0"/>
    <x v="1"/>
    <x v="1"/>
    <x v="1"/>
    <n v="4218.63"/>
    <n v="3116.41"/>
    <n v="62748"/>
    <n v="874.21"/>
    <n v="14427552330"/>
    <n v="95791098240"/>
    <n v="601148013.75"/>
    <n v="22706683.980344329"/>
    <n v="161"/>
    <n v="24"/>
    <d v="2023-06-02T00:00:00"/>
    <s v="viernes"/>
    <x v="4"/>
    <n v="94.63"/>
    <n v="5.4298757763975161"/>
    <x v="1"/>
    <s v="Normal"/>
  </r>
  <r>
    <n v="9"/>
    <x v="2"/>
    <x v="1"/>
    <x v="2"/>
    <x v="0"/>
    <x v="1"/>
    <x v="1"/>
    <n v="3097.97"/>
    <n v="1452.08"/>
    <n v="62800.63"/>
    <n v="991.57"/>
    <n v="12044173860"/>
    <n v="24423346080"/>
    <n v="501840577.5"/>
    <n v="7883661.2620522473"/>
    <n v="166"/>
    <n v="24"/>
    <d v="2025-03-26T00:00:00"/>
    <s v="miércoles"/>
    <x v="7"/>
    <n v="85.13"/>
    <n v="5.9733132530120487"/>
    <x v="0"/>
    <s v="Normal"/>
  </r>
  <r>
    <n v="411"/>
    <x v="1"/>
    <x v="2"/>
    <x v="1"/>
    <x v="1"/>
    <x v="2"/>
    <x v="1"/>
    <n v="4854.67"/>
    <n v="1244.76"/>
    <n v="62809"/>
    <n v="1111.8499999999999"/>
    <n v="24355129950"/>
    <n v="164246201190"/>
    <n v="1159768092.8571429"/>
    <n v="33832619.146100558"/>
    <n v="237"/>
    <n v="21"/>
    <d v="2023-10-12T00:00:00"/>
    <s v="jueves"/>
    <x v="2"/>
    <n v="85.13"/>
    <n v="4.6913502109704641"/>
    <x v="0"/>
    <s v="Normal"/>
  </r>
  <r>
    <n v="316"/>
    <x v="2"/>
    <x v="2"/>
    <x v="2"/>
    <x v="1"/>
    <x v="0"/>
    <x v="2"/>
    <n v="5636.21"/>
    <n v="1773.85"/>
    <n v="62853"/>
    <n v="457.38"/>
    <n v="27880711290"/>
    <n v="105296192370"/>
    <n v="1212204838.6956522"/>
    <n v="18682091.754920416"/>
    <n v="186"/>
    <n v="23"/>
    <d v="2024-05-04T00:00:00"/>
    <s v="sábado"/>
    <x v="9"/>
    <n v="73.58"/>
    <n v="2.4590322580645161"/>
    <x v="2"/>
    <s v="Crítica"/>
  </r>
  <r>
    <n v="338"/>
    <x v="2"/>
    <x v="3"/>
    <x v="2"/>
    <x v="1"/>
    <x v="0"/>
    <x v="2"/>
    <n v="4680.3"/>
    <n v="2690.17"/>
    <n v="62907.89"/>
    <n v="915.02"/>
    <n v="31192473960"/>
    <n v="36222150060"/>
    <n v="1247698958.4000001"/>
    <n v="7739279.546182937"/>
    <n v="61"/>
    <n v="25"/>
    <d v="2025-05-10T00:00:00"/>
    <s v="sábado"/>
    <x v="9"/>
    <n v="89.34"/>
    <n v="15.000327868852459"/>
    <x v="0"/>
    <s v="Normal"/>
  </r>
  <r>
    <n v="152"/>
    <x v="2"/>
    <x v="0"/>
    <x v="2"/>
    <x v="1"/>
    <x v="2"/>
    <x v="1"/>
    <n v="5737.69"/>
    <n v="2020.91"/>
    <n v="63089.87"/>
    <n v="1389.99"/>
    <n v="20109356100"/>
    <n v="23363274150"/>
    <n v="744790966.66666663"/>
    <n v="4071895.510214041"/>
    <n v="87"/>
    <n v="27"/>
    <d v="2023-09-04T00:00:00"/>
    <s v="lunes"/>
    <x v="10"/>
    <n v="73.010000000000005"/>
    <n v="15.976896551724138"/>
    <x v="2"/>
    <s v="Normal"/>
  </r>
  <r>
    <n v="402"/>
    <x v="1"/>
    <x v="4"/>
    <x v="1"/>
    <x v="1"/>
    <x v="2"/>
    <x v="0"/>
    <n v="1721.43"/>
    <n v="2181.87"/>
    <n v="63134.91"/>
    <n v="1244.9000000000001"/>
    <n v="35106238440"/>
    <n v="179634735360"/>
    <n v="1671725640"/>
    <n v="104352041.82569143"/>
    <n v="107"/>
    <n v="21"/>
    <d v="2025-11-22T00:00:00"/>
    <s v="sábado"/>
    <x v="5"/>
    <n v="70.06"/>
    <n v="11.634579439252338"/>
    <x v="2"/>
    <s v="Normal"/>
  </r>
  <r>
    <n v="165"/>
    <x v="1"/>
    <x v="1"/>
    <x v="1"/>
    <x v="0"/>
    <x v="0"/>
    <x v="1"/>
    <n v="4148.47"/>
    <n v="2024.59"/>
    <n v="63140.71"/>
    <n v="749.69"/>
    <n v="5419510020"/>
    <n v="49941327780"/>
    <n v="246341364.54545453"/>
    <n v="12038493.174592078"/>
    <n v="138"/>
    <n v="22"/>
    <d v="2024-08-31T00:00:00"/>
    <s v="sábado"/>
    <x v="8"/>
    <n v="96.07"/>
    <n v="5.4325362318840584"/>
    <x v="1"/>
    <s v="Normal"/>
  </r>
  <r>
    <n v="178"/>
    <x v="1"/>
    <x v="0"/>
    <x v="1"/>
    <x v="1"/>
    <x v="2"/>
    <x v="1"/>
    <n v="7323.81"/>
    <n v="3225.79"/>
    <n v="63179.95"/>
    <n v="436.77"/>
    <n v="10309909320"/>
    <n v="151812814140"/>
    <n v="381848493.33333331"/>
    <n v="20728666.382661484"/>
    <n v="237"/>
    <n v="27"/>
    <d v="2025-05-21T00:00:00"/>
    <s v="miércoles"/>
    <x v="9"/>
    <n v="93.6"/>
    <n v="1.8429113924050633"/>
    <x v="1"/>
    <s v="Normal"/>
  </r>
  <r>
    <n v="358"/>
    <x v="0"/>
    <x v="4"/>
    <x v="0"/>
    <x v="0"/>
    <x v="2"/>
    <x v="2"/>
    <n v="4610.59"/>
    <n v="1497.61"/>
    <n v="63228.51"/>
    <n v="1231.98"/>
    <n v="29360492730"/>
    <n v="165373059870"/>
    <n v="1129249720.3846154"/>
    <n v="35868090.606625184"/>
    <n v="105"/>
    <n v="26"/>
    <d v="2024-06-05T00:00:00"/>
    <s v="miércoles"/>
    <x v="4"/>
    <n v="75.069999999999993"/>
    <n v="11.733142857142857"/>
    <x v="0"/>
    <s v="Crítica"/>
  </r>
  <r>
    <n v="7"/>
    <x v="2"/>
    <x v="1"/>
    <x v="2"/>
    <x v="0"/>
    <x v="1"/>
    <x v="2"/>
    <n v="4279.82"/>
    <n v="1987.99"/>
    <n v="63573.82"/>
    <n v="825.37"/>
    <n v="40268548080"/>
    <n v="755182750"/>
    <n v="1750806438.2608695"/>
    <n v="176451.98863503608"/>
    <n v="256"/>
    <n v="23"/>
    <d v="2025-05-21T00:00:00"/>
    <s v="miércoles"/>
    <x v="9"/>
    <n v="71.790000000000006"/>
    <n v="3.2241015625"/>
    <x v="2"/>
    <s v="Crítica"/>
  </r>
  <r>
    <n v="88"/>
    <x v="1"/>
    <x v="0"/>
    <x v="1"/>
    <x v="1"/>
    <x v="2"/>
    <x v="2"/>
    <n v="4010.88"/>
    <n v="1383.26"/>
    <n v="63791.11"/>
    <n v="1204.6199999999999"/>
    <n v="1708100370"/>
    <n v="86406241410"/>
    <n v="85405018.5"/>
    <n v="21542963.491802298"/>
    <n v="60"/>
    <n v="20"/>
    <d v="2023-05-15T00:00:00"/>
    <s v="lunes"/>
    <x v="9"/>
    <n v="90.33"/>
    <n v="20.076999999999998"/>
    <x v="1"/>
    <s v="Crítica"/>
  </r>
  <r>
    <n v="33"/>
    <x v="1"/>
    <x v="3"/>
    <x v="1"/>
    <x v="1"/>
    <x v="2"/>
    <x v="2"/>
    <n v="3900.59"/>
    <n v="803.64"/>
    <n v="64032.73"/>
    <n v="902.57"/>
    <n v="1359880020"/>
    <n v="148220784360"/>
    <n v="50365926.666666664"/>
    <n v="37999580.668565527"/>
    <n v="69"/>
    <n v="27"/>
    <d v="2025-04-20T00:00:00"/>
    <s v="domingo"/>
    <x v="11"/>
    <n v="80.459999999999994"/>
    <n v="13.080724637681159"/>
    <x v="0"/>
    <s v="Crítica"/>
  </r>
  <r>
    <n v="146"/>
    <x v="2"/>
    <x v="3"/>
    <x v="2"/>
    <x v="1"/>
    <x v="1"/>
    <x v="2"/>
    <n v="4505.13"/>
    <n v="2716.72"/>
    <n v="64224.44"/>
    <n v="1050.83"/>
    <n v="1922191020"/>
    <n v="1515649906620"/>
    <n v="64073034"/>
    <n v="336427562.93825036"/>
    <n v="126"/>
    <n v="30"/>
    <d v="2024-10-03T00:00:00"/>
    <s v="jueves"/>
    <x v="2"/>
    <n v="94.52"/>
    <n v="8.3399206349206345"/>
    <x v="1"/>
    <s v="Normal"/>
  </r>
  <r>
    <n v="107"/>
    <x v="2"/>
    <x v="1"/>
    <x v="2"/>
    <x v="0"/>
    <x v="0"/>
    <x v="2"/>
    <n v="4728.51"/>
    <n v="2249.7399999999998"/>
    <n v="64329.919999999998"/>
    <n v="832.3"/>
    <n v="29538970830"/>
    <n v="111665041560"/>
    <n v="1406617658.5714285"/>
    <n v="23615270.256380972"/>
    <n v="194"/>
    <n v="21"/>
    <d v="2025-05-20T00:00:00"/>
    <s v="martes"/>
    <x v="9"/>
    <n v="84.12"/>
    <n v="4.2902061855670102"/>
    <x v="0"/>
    <s v="Normal"/>
  </r>
  <r>
    <n v="22"/>
    <x v="0"/>
    <x v="4"/>
    <x v="0"/>
    <x v="1"/>
    <x v="0"/>
    <x v="0"/>
    <n v="6395.38"/>
    <n v="1755.31"/>
    <n v="64540.69"/>
    <n v="887.15"/>
    <n v="8199560880"/>
    <n v="100370291670"/>
    <n v="372707312.72727275"/>
    <n v="15694187.314905448"/>
    <n v="143"/>
    <n v="22"/>
    <d v="2024-12-30T00:00:00"/>
    <s v="lunes"/>
    <x v="3"/>
    <n v="70.540000000000006"/>
    <n v="6.203846153846154"/>
    <x v="2"/>
    <s v="Normal"/>
  </r>
  <r>
    <n v="458"/>
    <x v="1"/>
    <x v="1"/>
    <x v="1"/>
    <x v="0"/>
    <x v="0"/>
    <x v="1"/>
    <n v="6639.91"/>
    <n v="2847.03"/>
    <n v="64607.48"/>
    <n v="592.66"/>
    <n v="15804520380"/>
    <n v="41164587000"/>
    <n v="658521682.5"/>
    <n v="6199570.0242924979"/>
    <n v="59"/>
    <n v="24"/>
    <d v="2024-05-25T00:00:00"/>
    <s v="sábado"/>
    <x v="9"/>
    <n v="86.15"/>
    <n v="10.045084745762711"/>
    <x v="0"/>
    <s v="Normal"/>
  </r>
  <r>
    <n v="158"/>
    <x v="0"/>
    <x v="4"/>
    <x v="0"/>
    <x v="1"/>
    <x v="0"/>
    <x v="0"/>
    <n v="7866.21"/>
    <n v="2344.59"/>
    <n v="64766.73"/>
    <n v="1216.78"/>
    <n v="27022174470"/>
    <n v="26242384140"/>
    <n v="1000821276.6666666"/>
    <n v="3336089.9518319494"/>
    <n v="97"/>
    <n v="27"/>
    <d v="2025-12-12T00:00:00"/>
    <s v="viernes"/>
    <x v="3"/>
    <n v="81.83"/>
    <n v="12.544123711340205"/>
    <x v="0"/>
    <s v="Normal"/>
  </r>
  <r>
    <n v="129"/>
    <x v="1"/>
    <x v="4"/>
    <x v="1"/>
    <x v="1"/>
    <x v="0"/>
    <x v="2"/>
    <n v="3246.66"/>
    <n v="1988.99"/>
    <n v="64798.58"/>
    <n v="754.78"/>
    <n v="1370395322938.8899"/>
    <n v="36394507170"/>
    <n v="59582405345.169128"/>
    <n v="11209830.154682042"/>
    <n v="192"/>
    <n v="23"/>
    <d v="2025-03-06T00:00:00"/>
    <s v="jueves"/>
    <x v="7"/>
    <n v="82.47"/>
    <n v="3.9311458333333333"/>
    <x v="0"/>
    <s v="Crítica"/>
  </r>
  <r>
    <n v="372"/>
    <x v="2"/>
    <x v="3"/>
    <x v="2"/>
    <x v="1"/>
    <x v="0"/>
    <x v="1"/>
    <n v="6041.35"/>
    <n v="722.01"/>
    <n v="64824.18"/>
    <n v="1318.24"/>
    <n v="8582195160"/>
    <n v="125492932260"/>
    <n v="408675960"/>
    <n v="20772332.717025168"/>
    <n v="164"/>
    <n v="21"/>
    <d v="2025-04-01T00:00:00"/>
    <s v="martes"/>
    <x v="11"/>
    <n v="95.77"/>
    <n v="8.0380487804878058"/>
    <x v="1"/>
    <s v="Normal"/>
  </r>
  <r>
    <n v="105"/>
    <x v="1"/>
    <x v="0"/>
    <x v="1"/>
    <x v="1"/>
    <x v="1"/>
    <x v="2"/>
    <n v="1631.5"/>
    <n v="1080.3599999999999"/>
    <n v="64934.36"/>
    <n v="849.08"/>
    <n v="33173663130"/>
    <n v="175279092030"/>
    <n v="1275910120.3846154"/>
    <n v="107434319.35642047"/>
    <n v="239"/>
    <n v="26"/>
    <d v="2025-02-05T00:00:00"/>
    <s v="miércoles"/>
    <x v="1"/>
    <n v="94.12"/>
    <n v="3.5526359832635985"/>
    <x v="1"/>
    <s v="Crítica"/>
  </r>
  <r>
    <n v="162"/>
    <x v="1"/>
    <x v="0"/>
    <x v="1"/>
    <x v="1"/>
    <x v="2"/>
    <x v="0"/>
    <n v="4747.17"/>
    <n v="1359.79"/>
    <n v="64935.83"/>
    <n v="1209.28"/>
    <n v="24892576470"/>
    <n v="144185407650"/>
    <n v="957406787.30769229"/>
    <n v="30372918.528302126"/>
    <n v="88"/>
    <n v="26"/>
    <d v="2024-12-30T00:00:00"/>
    <s v="lunes"/>
    <x v="3"/>
    <n v="70.91"/>
    <n v="13.741818181818182"/>
    <x v="2"/>
    <s v="Normal"/>
  </r>
  <r>
    <n v="438"/>
    <x v="1"/>
    <x v="1"/>
    <x v="1"/>
    <x v="0"/>
    <x v="0"/>
    <x v="0"/>
    <n v="5619.58"/>
    <n v="1643.49"/>
    <n v="65028.41"/>
    <n v="879.78"/>
    <n v="32460862140"/>
    <n v="52073591220"/>
    <n v="1545755340"/>
    <n v="9266456.0732296724"/>
    <n v="193"/>
    <n v="21"/>
    <d v="2025-12-01T00:00:00"/>
    <s v="lunes"/>
    <x v="3"/>
    <n v="84.59"/>
    <n v="4.5584455958549217"/>
    <x v="0"/>
    <s v="Normal"/>
  </r>
  <r>
    <n v="230"/>
    <x v="0"/>
    <x v="3"/>
    <x v="0"/>
    <x v="0"/>
    <x v="0"/>
    <x v="2"/>
    <n v="7074.72"/>
    <n v="2285.17"/>
    <n v="65211.67"/>
    <n v="1046.6600000000001"/>
    <n v="14518662390"/>
    <n v="79500392460"/>
    <n v="631246190.86956525"/>
    <n v="11237249.313047018"/>
    <n v="80"/>
    <n v="23"/>
    <d v="2023-08-14T00:00:00"/>
    <s v="lunes"/>
    <x v="8"/>
    <n v="70.02"/>
    <n v="13.083250000000001"/>
    <x v="2"/>
    <s v="Normal"/>
  </r>
  <r>
    <n v="121"/>
    <x v="2"/>
    <x v="2"/>
    <x v="2"/>
    <x v="0"/>
    <x v="2"/>
    <x v="1"/>
    <n v="6655.57"/>
    <n v="2296.7600000000002"/>
    <n v="65343.49"/>
    <n v="1028.8800000000001"/>
    <n v="5828567400"/>
    <n v="128871544680"/>
    <n v="224175669.23076922"/>
    <n v="19362961.35116902"/>
    <n v="190"/>
    <n v="26"/>
    <d v="2024-06-24T00:00:00"/>
    <s v="lunes"/>
    <x v="4"/>
    <n v="97.05"/>
    <n v="5.4151578947368426"/>
    <x v="1"/>
    <s v="Normal"/>
  </r>
  <r>
    <n v="188"/>
    <x v="2"/>
    <x v="0"/>
    <x v="2"/>
    <x v="1"/>
    <x v="0"/>
    <x v="1"/>
    <n v="2515.38"/>
    <n v="1520.36"/>
    <n v="65641.2"/>
    <n v="792.18"/>
    <n v="11835152100"/>
    <n v="76281057900"/>
    <n v="493131337.5"/>
    <n v="30325858.478639409"/>
    <n v="209"/>
    <n v="24"/>
    <d v="2023-01-02T00:00:00"/>
    <s v="lunes"/>
    <x v="0"/>
    <n v="77.930000000000007"/>
    <n v="3.7903349282296648"/>
    <x v="0"/>
    <s v="Normal"/>
  </r>
  <r>
    <n v="478"/>
    <x v="0"/>
    <x v="0"/>
    <x v="0"/>
    <x v="1"/>
    <x v="1"/>
    <x v="1"/>
    <n v="6302.15"/>
    <n v="2089.25"/>
    <n v="65753.279999999999"/>
    <n v="619.6"/>
    <n v="12528225630"/>
    <n v="122015582100"/>
    <n v="626411281.5"/>
    <n v="19360945.407519657"/>
    <n v="144"/>
    <n v="20"/>
    <d v="2023-07-09T00:00:00"/>
    <s v="domingo"/>
    <x v="6"/>
    <n v="97.29"/>
    <n v="4.302777777777778"/>
    <x v="1"/>
    <s v="Normal"/>
  </r>
  <r>
    <n v="332"/>
    <x v="1"/>
    <x v="2"/>
    <x v="1"/>
    <x v="1"/>
    <x v="1"/>
    <x v="0"/>
    <n v="5943.87"/>
    <n v="629.51"/>
    <n v="65798.55"/>
    <n v="1106.79"/>
    <n v="22258647990"/>
    <n v="77069477070"/>
    <n v="967767303.9130435"/>
    <n v="12966211.755977167"/>
    <n v="298"/>
    <n v="23"/>
    <d v="2025-08-28T00:00:00"/>
    <s v="jueves"/>
    <x v="8"/>
    <n v="94.28"/>
    <n v="3.7140604026845638"/>
    <x v="1"/>
    <s v="Normal"/>
  </r>
  <r>
    <n v="60"/>
    <x v="2"/>
    <x v="2"/>
    <x v="2"/>
    <x v="0"/>
    <x v="1"/>
    <x v="1"/>
    <n v="4705.6099999999997"/>
    <n v="1368.98"/>
    <n v="65940.69"/>
    <n v="16.04"/>
    <n v="23225683770"/>
    <n v="31797882630"/>
    <n v="800885647.24137926"/>
    <n v="6757441.1457813121"/>
    <n v="105"/>
    <n v="29"/>
    <d v="2024-03-31T00:00:00"/>
    <s v="domingo"/>
    <x v="7"/>
    <n v="75.58"/>
    <n v="0.15276190476190477"/>
    <x v="0"/>
    <s v="Normal"/>
  </r>
  <r>
    <n v="222"/>
    <x v="0"/>
    <x v="0"/>
    <x v="0"/>
    <x v="1"/>
    <x v="2"/>
    <x v="0"/>
    <n v="3829.29"/>
    <n v="672.06"/>
    <n v="66195"/>
    <n v="1287.3399999999999"/>
    <n v="10080922590"/>
    <n v="121093760070"/>
    <n v="504046129.5"/>
    <n v="31623031.964150012"/>
    <n v="80"/>
    <n v="20"/>
    <d v="2024-04-14T00:00:00"/>
    <s v="domingo"/>
    <x v="11"/>
    <n v="75.989999999999995"/>
    <n v="16.091749999999998"/>
    <x v="0"/>
    <s v="Normal"/>
  </r>
  <r>
    <n v="404"/>
    <x v="0"/>
    <x v="4"/>
    <x v="0"/>
    <x v="0"/>
    <x v="2"/>
    <x v="1"/>
    <n v="6469.12"/>
    <n v="1630.27"/>
    <n v="66306.820000000007"/>
    <n v="847.78"/>
    <n v="21283874460"/>
    <n v="53073742500"/>
    <n v="709462482"/>
    <n v="8204167.2592253666"/>
    <n v="101"/>
    <n v="30"/>
    <d v="2025-09-04T00:00:00"/>
    <s v="jueves"/>
    <x v="10"/>
    <n v="74.099999999999994"/>
    <n v="8.3938613861386138"/>
    <x v="2"/>
    <s v="Normal"/>
  </r>
  <r>
    <n v="250"/>
    <x v="0"/>
    <x v="1"/>
    <x v="0"/>
    <x v="0"/>
    <x v="1"/>
    <x v="1"/>
    <n v="6581.55"/>
    <n v="1600.09"/>
    <n v="66318.649999999994"/>
    <n v="680.29"/>
    <n v="20003063400"/>
    <n v="111931505010"/>
    <n v="833460975"/>
    <n v="17006860.847368781"/>
    <n v="274"/>
    <n v="24"/>
    <d v="2024-09-25T00:00:00"/>
    <s v="miércoles"/>
    <x v="10"/>
    <n v="78.38"/>
    <n v="2.4828102189781021"/>
    <x v="0"/>
    <s v="Normal"/>
  </r>
  <r>
    <n v="59"/>
    <x v="2"/>
    <x v="3"/>
    <x v="2"/>
    <x v="0"/>
    <x v="1"/>
    <x v="1"/>
    <n v="6515.21"/>
    <n v="1963.69"/>
    <n v="67364.13"/>
    <n v="1387.42"/>
    <n v="1360228370338.8899"/>
    <n v="4796600500"/>
    <n v="52316475782.264999"/>
    <n v="736215.79350473732"/>
    <n v="143"/>
    <n v="26"/>
    <d v="2024-02-05T00:00:00"/>
    <s v="lunes"/>
    <x v="1"/>
    <n v="97.81"/>
    <n v="9.7022377622377629"/>
    <x v="1"/>
    <s v="Normal"/>
  </r>
  <r>
    <n v="349"/>
    <x v="1"/>
    <x v="2"/>
    <x v="1"/>
    <x v="0"/>
    <x v="0"/>
    <x v="1"/>
    <n v="4312.34"/>
    <n v="2043.43"/>
    <n v="67759.839999999997"/>
    <n v="1433.86"/>
    <n v="11243957670"/>
    <n v="1468206285060"/>
    <n v="374798589"/>
    <n v="340466263.11005163"/>
    <n v="66"/>
    <n v="30"/>
    <d v="2024-03-28T00:00:00"/>
    <s v="jueves"/>
    <x v="7"/>
    <n v="83.67"/>
    <n v="21.725151515151513"/>
    <x v="0"/>
    <s v="Normal"/>
  </r>
  <r>
    <n v="342"/>
    <x v="0"/>
    <x v="3"/>
    <x v="0"/>
    <x v="1"/>
    <x v="1"/>
    <x v="1"/>
    <n v="2488.5500000000002"/>
    <n v="1914.98"/>
    <n v="67944.960000000006"/>
    <n v="580.85"/>
    <n v="17427980340"/>
    <n v="176721369300"/>
    <n v="622427869.28571427"/>
    <n v="71013790.882240653"/>
    <n v="91"/>
    <n v="28"/>
    <d v="2025-03-26T00:00:00"/>
    <s v="miércoles"/>
    <x v="7"/>
    <n v="79.09"/>
    <n v="6.3829670329670334"/>
    <x v="0"/>
    <s v="Normal"/>
  </r>
  <r>
    <n v="217"/>
    <x v="2"/>
    <x v="3"/>
    <x v="2"/>
    <x v="0"/>
    <x v="0"/>
    <x v="1"/>
    <n v="4978.9399999999996"/>
    <n v="2455.5300000000002"/>
    <n v="68267.570000000007"/>
    <n v="1221.19"/>
    <n v="31040425710"/>
    <n v="163229373180"/>
    <n v="1410928441.3636363"/>
    <n v="32783960.678377327"/>
    <n v="180"/>
    <n v="22"/>
    <d v="2025-09-07T00:00:00"/>
    <s v="domingo"/>
    <x v="10"/>
    <n v="77.72"/>
    <n v="6.7843888888888895"/>
    <x v="0"/>
    <s v="Normal"/>
  </r>
  <r>
    <n v="154"/>
    <x v="0"/>
    <x v="0"/>
    <x v="0"/>
    <x v="1"/>
    <x v="0"/>
    <x v="0"/>
    <n v="4094.33"/>
    <n v="2425.7199999999998"/>
    <n v="68456.789999999994"/>
    <n v="957.52"/>
    <n v="22094463150"/>
    <n v="116846815680"/>
    <n v="736482105"/>
    <n v="28538690.257013969"/>
    <n v="237"/>
    <n v="30"/>
    <d v="2023-07-22T00:00:00"/>
    <s v="sábado"/>
    <x v="6"/>
    <n v="78.680000000000007"/>
    <n v="4.0401687763713081"/>
    <x v="0"/>
    <s v="Normal"/>
  </r>
  <r>
    <n v="108"/>
    <x v="2"/>
    <x v="3"/>
    <x v="2"/>
    <x v="0"/>
    <x v="0"/>
    <x v="2"/>
    <n v="2357.1999999999998"/>
    <n v="2645.71"/>
    <n v="68784.47"/>
    <n v="1102.02"/>
    <n v="35179659090"/>
    <n v="23339824740"/>
    <n v="1213091692.7586207"/>
    <n v="9901503.7926353309"/>
    <n v="114"/>
    <n v="29"/>
    <d v="2025-03-05T00:00:00"/>
    <s v="miércoles"/>
    <x v="7"/>
    <n v="97.11"/>
    <n v="9.6668421052631572"/>
    <x v="1"/>
    <s v="Normal"/>
  </r>
  <r>
    <n v="194"/>
    <x v="1"/>
    <x v="2"/>
    <x v="1"/>
    <x v="0"/>
    <x v="1"/>
    <x v="2"/>
    <n v="4614.78"/>
    <n v="2164.02"/>
    <n v="69128.990000000005"/>
    <n v="898.12"/>
    <n v="43641031860"/>
    <n v="59924344410"/>
    <n v="1983683266.3636363"/>
    <n v="12985309.030983059"/>
    <n v="269"/>
    <n v="22"/>
    <d v="2023-01-09T00:00:00"/>
    <s v="lunes"/>
    <x v="0"/>
    <n v="90.34"/>
    <n v="3.3387360594795541"/>
    <x v="1"/>
    <s v="Normal"/>
  </r>
  <r>
    <n v="295"/>
    <x v="1"/>
    <x v="3"/>
    <x v="1"/>
    <x v="0"/>
    <x v="1"/>
    <x v="0"/>
    <n v="4700.09"/>
    <n v="1967.75"/>
    <n v="69135.69"/>
    <n v="694.8"/>
    <n v="37748288430"/>
    <n v="167372929080"/>
    <n v="1641229931.7391305"/>
    <n v="35610579.601667203"/>
    <n v="198"/>
    <n v="23"/>
    <d v="2024-07-23T00:00:00"/>
    <s v="martes"/>
    <x v="6"/>
    <n v="91.2"/>
    <n v="3.5090909090909088"/>
    <x v="1"/>
    <s v="Normal"/>
  </r>
  <r>
    <n v="227"/>
    <x v="1"/>
    <x v="2"/>
    <x v="1"/>
    <x v="0"/>
    <x v="0"/>
    <x v="0"/>
    <n v="5527.84"/>
    <n v="2464.3000000000002"/>
    <n v="69278.570000000007"/>
    <n v="513.12"/>
    <n v="21640526550"/>
    <n v="97077983310"/>
    <n v="746225053.4482758"/>
    <n v="17561648.548076645"/>
    <n v="138"/>
    <n v="29"/>
    <d v="2024-07-16T00:00:00"/>
    <s v="martes"/>
    <x v="6"/>
    <n v="93.64"/>
    <n v="3.7182608695652175"/>
    <x v="1"/>
    <s v="Normal"/>
  </r>
  <r>
    <n v="95"/>
    <x v="0"/>
    <x v="0"/>
    <x v="0"/>
    <x v="0"/>
    <x v="0"/>
    <x v="2"/>
    <n v="3126.24"/>
    <n v="833.61"/>
    <n v="69428.11"/>
    <n v="966.33"/>
    <n v="18466641630"/>
    <n v="38984629050"/>
    <n v="615554721"/>
    <n v="12470133.147167206"/>
    <n v="279"/>
    <n v="30"/>
    <d v="2024-02-11T00:00:00"/>
    <s v="domingo"/>
    <x v="1"/>
    <n v="78.44"/>
    <n v="3.4635483870967745"/>
    <x v="0"/>
    <s v="Crítica"/>
  </r>
  <r>
    <n v="197"/>
    <x v="0"/>
    <x v="1"/>
    <x v="0"/>
    <x v="0"/>
    <x v="1"/>
    <x v="2"/>
    <n v="5548.26"/>
    <n v="1745.48"/>
    <n v="69665.5"/>
    <n v="873.88"/>
    <n v="23466538710"/>
    <n v="123779106360"/>
    <n v="782217957"/>
    <n v="22309536.027511328"/>
    <n v="244"/>
    <n v="30"/>
    <d v="2024-02-08T00:00:00"/>
    <s v="jueves"/>
    <x v="1"/>
    <n v="87.38"/>
    <n v="3.5814754098360657"/>
    <x v="0"/>
    <s v="Crítica"/>
  </r>
  <r>
    <n v="144"/>
    <x v="1"/>
    <x v="3"/>
    <x v="1"/>
    <x v="0"/>
    <x v="0"/>
    <x v="2"/>
    <n v="3994.35"/>
    <n v="1989.05"/>
    <n v="69688.75"/>
    <n v="1529.07"/>
    <n v="5470893540"/>
    <n v="13123214910"/>
    <n v="237864936.52173913"/>
    <n v="3285444.4177400577"/>
    <n v="262"/>
    <n v="23"/>
    <d v="2023-04-23T00:00:00"/>
    <s v="domingo"/>
    <x v="11"/>
    <n v="98.88"/>
    <n v="5.8361450381679383"/>
    <x v="1"/>
    <s v="Crítica"/>
  </r>
  <r>
    <n v="83"/>
    <x v="1"/>
    <x v="4"/>
    <x v="1"/>
    <x v="0"/>
    <x v="1"/>
    <x v="2"/>
    <n v="5844.62"/>
    <n v="1235.3800000000001"/>
    <n v="69944.92"/>
    <n v="765.39"/>
    <n v="43894936980"/>
    <n v="141166125180"/>
    <n v="1625738406.6666667"/>
    <n v="24153174.232028771"/>
    <n v="264"/>
    <n v="27"/>
    <d v="2024-01-14T00:00:00"/>
    <s v="domingo"/>
    <x v="0"/>
    <n v="87.33"/>
    <n v="2.8992045454545452"/>
    <x v="0"/>
    <s v="Crítica"/>
  </r>
  <r>
    <n v="24"/>
    <x v="2"/>
    <x v="0"/>
    <x v="2"/>
    <x v="1"/>
    <x v="0"/>
    <x v="2"/>
    <n v="5017.0200000000004"/>
    <n v="1077.29"/>
    <n v="70142.91"/>
    <n v="860.73"/>
    <n v="12462247170"/>
    <n v="134000751780"/>
    <n v="461564710"/>
    <n v="26709232.129830055"/>
    <n v="196"/>
    <n v="27"/>
    <d v="2024-12-27T00:00:00"/>
    <s v="viernes"/>
    <x v="3"/>
    <n v="89.08"/>
    <n v="4.3914795918367346"/>
    <x v="0"/>
    <s v="Crítica"/>
  </r>
  <r>
    <n v="455"/>
    <x v="0"/>
    <x v="3"/>
    <x v="0"/>
    <x v="1"/>
    <x v="2"/>
    <x v="1"/>
    <n v="4329.28"/>
    <n v="1857.03"/>
    <n v="70235.64"/>
    <n v="1455.08"/>
    <n v="9504722340"/>
    <n v="1657980771300"/>
    <n v="452605825.71428573"/>
    <n v="382969170.69351023"/>
    <n v="197"/>
    <n v="21"/>
    <d v="2025-12-13T00:00:00"/>
    <s v="sábado"/>
    <x v="3"/>
    <n v="75.44"/>
    <n v="7.3861928934010148"/>
    <x v="0"/>
    <s v="Normal"/>
  </r>
  <r>
    <n v="147"/>
    <x v="2"/>
    <x v="3"/>
    <x v="2"/>
    <x v="0"/>
    <x v="1"/>
    <x v="1"/>
    <n v="4473.29"/>
    <n v="2746.42"/>
    <n v="70280.289999999994"/>
    <n v="959.83"/>
    <n v="11806242300"/>
    <n v="136513046790"/>
    <n v="513314882.60869563"/>
    <n v="30517370.166029926"/>
    <n v="257"/>
    <n v="23"/>
    <d v="2023-08-08T00:00:00"/>
    <s v="martes"/>
    <x v="8"/>
    <n v="88.42"/>
    <n v="3.7347470817120625"/>
    <x v="0"/>
    <s v="Normal"/>
  </r>
  <r>
    <n v="41"/>
    <x v="0"/>
    <x v="3"/>
    <x v="0"/>
    <x v="0"/>
    <x v="2"/>
    <x v="0"/>
    <n v="4899.6899999999996"/>
    <n v="1578.16"/>
    <n v="70453.45"/>
    <n v="745.77"/>
    <n v="44281865070"/>
    <n v="133836955560"/>
    <n v="1640069076.6666667"/>
    <n v="27315392.516669422"/>
    <n v="278"/>
    <n v="27"/>
    <d v="2024-07-18T00:00:00"/>
    <s v="jueves"/>
    <x v="6"/>
    <n v="94.91"/>
    <n v="2.6826258992805756"/>
    <x v="1"/>
    <s v="Normal"/>
  </r>
  <r>
    <n v="499"/>
    <x v="0"/>
    <x v="0"/>
    <x v="0"/>
    <x v="1"/>
    <x v="0"/>
    <x v="2"/>
    <n v="6302.67"/>
    <n v="1766.86"/>
    <n v="70770.22"/>
    <n v="819.04"/>
    <n v="17028591660"/>
    <n v="77450600880"/>
    <n v="681143666.39999998"/>
    <n v="12288538.171917615"/>
    <n v="165"/>
    <n v="25"/>
    <d v="2025-02-22T00:00:00"/>
    <s v="sábado"/>
    <x v="1"/>
    <n v="91.59"/>
    <n v="4.9638787878787873"/>
    <x v="1"/>
    <s v="Crítica"/>
  </r>
  <r>
    <n v="92"/>
    <x v="2"/>
    <x v="0"/>
    <x v="2"/>
    <x v="0"/>
    <x v="0"/>
    <x v="2"/>
    <n v="4248.29"/>
    <n v="2796.25"/>
    <n v="70782.789999999994"/>
    <n v="928.03"/>
    <n v="3549968010"/>
    <n v="96511988160"/>
    <n v="161362182.27272728"/>
    <n v="22717843.687695522"/>
    <n v="239"/>
    <n v="22"/>
    <d v="2023-01-12T00:00:00"/>
    <s v="jueves"/>
    <x v="0"/>
    <n v="84.71"/>
    <n v="3.8829707112970708"/>
    <x v="0"/>
    <s v="Normal"/>
  </r>
  <r>
    <n v="379"/>
    <x v="1"/>
    <x v="2"/>
    <x v="1"/>
    <x v="1"/>
    <x v="2"/>
    <x v="2"/>
    <n v="2989.21"/>
    <n v="1433.97"/>
    <n v="70873.47"/>
    <n v="1282.77"/>
    <n v="5498587170"/>
    <n v="104879697120"/>
    <n v="274929358.5"/>
    <n v="35086092.017623387"/>
    <n v="112"/>
    <n v="20"/>
    <d v="2024-02-01T00:00:00"/>
    <s v="jueves"/>
    <x v="1"/>
    <n v="83.34"/>
    <n v="11.453303571428572"/>
    <x v="0"/>
    <s v="Crítica"/>
  </r>
  <r>
    <n v="275"/>
    <x v="2"/>
    <x v="1"/>
    <x v="2"/>
    <x v="0"/>
    <x v="1"/>
    <x v="1"/>
    <n v="4875.72"/>
    <n v="2213.6999999999998"/>
    <n v="71272.25"/>
    <n v="1134.6099999999999"/>
    <n v="14180730120"/>
    <n v="14843193480"/>
    <n v="545412696.92307687"/>
    <n v="3044308.0160468607"/>
    <n v="238"/>
    <n v="26"/>
    <d v="2024-02-12T00:00:00"/>
    <s v="lunes"/>
    <x v="1"/>
    <n v="85.31"/>
    <n v="4.7672689075630243"/>
    <x v="0"/>
    <s v="Normal"/>
  </r>
  <r>
    <n v="75"/>
    <x v="2"/>
    <x v="4"/>
    <x v="2"/>
    <x v="0"/>
    <x v="0"/>
    <x v="2"/>
    <n v="6179.26"/>
    <n v="1102.47"/>
    <n v="71555.89"/>
    <n v="688.91"/>
    <n v="17764977330"/>
    <n v="65201805450"/>
    <n v="612585425.17241383"/>
    <n v="10551717.430566119"/>
    <n v="272"/>
    <n v="29"/>
    <d v="2023-03-06T00:00:00"/>
    <s v="lunes"/>
    <x v="7"/>
    <n v="77.81"/>
    <n v="2.5327573529411764"/>
    <x v="0"/>
    <s v="Crítica"/>
  </r>
  <r>
    <n v="268"/>
    <x v="0"/>
    <x v="0"/>
    <x v="0"/>
    <x v="0"/>
    <x v="1"/>
    <x v="0"/>
    <n v="6547.01"/>
    <n v="2633.99"/>
    <n v="71595.429999999993"/>
    <n v="1062.83"/>
    <n v="38049468390"/>
    <n v="41273783910"/>
    <n v="1268315613"/>
    <n v="6304218.8586851098"/>
    <n v="236"/>
    <n v="30"/>
    <d v="2025-05-01T00:00:00"/>
    <s v="jueves"/>
    <x v="9"/>
    <n v="86.07"/>
    <n v="4.5035169491525417"/>
    <x v="0"/>
    <s v="Normal"/>
  </r>
  <r>
    <n v="448"/>
    <x v="2"/>
    <x v="0"/>
    <x v="2"/>
    <x v="0"/>
    <x v="0"/>
    <x v="0"/>
    <n v="3630.58"/>
    <n v="1643.52"/>
    <n v="71630.14"/>
    <n v="1350.94"/>
    <n v="3577947840"/>
    <n v="53283146220"/>
    <n v="170378468.57142857"/>
    <n v="14676207.718876874"/>
    <n v="116"/>
    <n v="21"/>
    <d v="2025-08-11T00:00:00"/>
    <s v="lunes"/>
    <x v="8"/>
    <n v="89.31"/>
    <n v="11.646034482758621"/>
    <x v="0"/>
    <s v="Normal"/>
  </r>
  <r>
    <n v="120"/>
    <x v="0"/>
    <x v="2"/>
    <x v="0"/>
    <x v="0"/>
    <x v="0"/>
    <x v="0"/>
    <n v="6230.72"/>
    <n v="2192.63"/>
    <n v="72431.23"/>
    <n v="613.74"/>
    <n v="16741338480"/>
    <n v="63802098540"/>
    <n v="643897633.84615386"/>
    <n v="10239923.883596117"/>
    <n v="71"/>
    <n v="26"/>
    <d v="2025-01-18T00:00:00"/>
    <s v="sábado"/>
    <x v="0"/>
    <n v="97.07"/>
    <n v="8.6442253521126755"/>
    <x v="1"/>
    <s v="Normal"/>
  </r>
  <r>
    <n v="47"/>
    <x v="2"/>
    <x v="2"/>
    <x v="2"/>
    <x v="0"/>
    <x v="0"/>
    <x v="1"/>
    <n v="3716.34"/>
    <n v="2052.39"/>
    <n v="73216.17"/>
    <n v="874.67"/>
    <n v="1411063133338.8899"/>
    <n v="132085486980"/>
    <n v="67193482539.947136"/>
    <n v="35541819.903453395"/>
    <n v="89"/>
    <n v="21"/>
    <d v="2023-02-04T00:00:00"/>
    <s v="sábado"/>
    <x v="1"/>
    <n v="77.22"/>
    <n v="9.8277528089887642"/>
    <x v="0"/>
    <s v="Normal"/>
  </r>
  <r>
    <n v="283"/>
    <x v="2"/>
    <x v="0"/>
    <x v="2"/>
    <x v="0"/>
    <x v="2"/>
    <x v="2"/>
    <n v="6869.49"/>
    <n v="1753.15"/>
    <n v="73306.28"/>
    <n v="772.81"/>
    <n v="16783837380"/>
    <n v="150794636850"/>
    <n v="645532206.92307687"/>
    <n v="21951358.375949308"/>
    <n v="152"/>
    <n v="26"/>
    <d v="2024-05-26T00:00:00"/>
    <s v="domingo"/>
    <x v="9"/>
    <n v="76.099999999999994"/>
    <n v="5.0842763157894737"/>
    <x v="0"/>
    <s v="Crítica"/>
  </r>
  <r>
    <n v="469"/>
    <x v="1"/>
    <x v="0"/>
    <x v="1"/>
    <x v="1"/>
    <x v="0"/>
    <x v="0"/>
    <n v="4073.28"/>
    <n v="3319.72"/>
    <n v="73335.13"/>
    <n v="1047.23"/>
    <n v="9319853160"/>
    <n v="174845949570"/>
    <n v="372794126.39999998"/>
    <n v="42925099.568406783"/>
    <n v="212"/>
    <n v="25"/>
    <d v="2025-01-23T00:00:00"/>
    <s v="jueves"/>
    <x v="0"/>
    <n v="83.72"/>
    <n v="4.9397641509433967"/>
    <x v="0"/>
    <s v="Normal"/>
  </r>
  <r>
    <n v="161"/>
    <x v="2"/>
    <x v="1"/>
    <x v="2"/>
    <x v="0"/>
    <x v="1"/>
    <x v="0"/>
    <n v="4056.39"/>
    <n v="1956.16"/>
    <n v="73451.570000000007"/>
    <n v="750.58"/>
    <n v="1353450401938.8899"/>
    <n v="174156691140"/>
    <n v="61520472815.404083"/>
    <n v="42933911.961127996"/>
    <n v="232"/>
    <n v="22"/>
    <d v="2023-07-17T00:00:00"/>
    <s v="lunes"/>
    <x v="6"/>
    <n v="91.52"/>
    <n v="3.2352586206896552"/>
    <x v="1"/>
    <s v="Normal"/>
  </r>
  <r>
    <n v="130"/>
    <x v="0"/>
    <x v="4"/>
    <x v="0"/>
    <x v="1"/>
    <x v="1"/>
    <x v="0"/>
    <n v="3886.23"/>
    <n v="2787.07"/>
    <n v="73680.92"/>
    <n v="1130.7"/>
    <n v="30390339330"/>
    <n v="1230988177260"/>
    <n v="1381379060.4545455"/>
    <n v="316756387.87719721"/>
    <n v="155"/>
    <n v="22"/>
    <d v="2023-04-14T00:00:00"/>
    <s v="viernes"/>
    <x v="11"/>
    <n v="78.89"/>
    <n v="7.2948387096774194"/>
    <x v="0"/>
    <s v="Normal"/>
  </r>
  <r>
    <n v="63"/>
    <x v="0"/>
    <x v="4"/>
    <x v="0"/>
    <x v="1"/>
    <x v="2"/>
    <x v="1"/>
    <n v="4343.5"/>
    <n v="2145.12"/>
    <n v="74729.87"/>
    <n v="1076.82"/>
    <n v="23459508180"/>
    <n v="14123021040"/>
    <n v="1117119437.1428571"/>
    <n v="3251530.1116611026"/>
    <n v="88"/>
    <n v="21"/>
    <d v="2024-12-20T00:00:00"/>
    <s v="viernes"/>
    <x v="3"/>
    <n v="79.959999999999994"/>
    <n v="12.236590909090909"/>
    <x v="0"/>
    <s v="Normal"/>
  </r>
  <r>
    <n v="414"/>
    <x v="1"/>
    <x v="3"/>
    <x v="1"/>
    <x v="0"/>
    <x v="1"/>
    <x v="0"/>
    <n v="4359.01"/>
    <n v="2439.2800000000002"/>
    <n v="74731.509999999995"/>
    <n v="903.23"/>
    <n v="9358626600"/>
    <n v="109874473470"/>
    <n v="374345064"/>
    <n v="25206290.756387342"/>
    <n v="235"/>
    <n v="25"/>
    <d v="2024-08-18T00:00:00"/>
    <s v="domingo"/>
    <x v="8"/>
    <n v="96.87"/>
    <n v="3.8435319148936169"/>
    <x v="1"/>
    <s v="Normal"/>
  </r>
  <r>
    <n v="219"/>
    <x v="2"/>
    <x v="0"/>
    <x v="2"/>
    <x v="0"/>
    <x v="0"/>
    <x v="1"/>
    <n v="4085.76"/>
    <n v="2926.72"/>
    <n v="76530.69"/>
    <n v="1012.74"/>
    <n v="32467908420"/>
    <n v="116075398320"/>
    <n v="1248765708.4615386"/>
    <n v="28409744.654605262"/>
    <n v="125"/>
    <n v="26"/>
    <d v="2024-11-18T00:00:00"/>
    <s v="lunes"/>
    <x v="5"/>
    <n v="73.459999999999994"/>
    <n v="8.1019199999999998"/>
    <x v="2"/>
    <s v="Normal"/>
  </r>
  <r>
    <n v="378"/>
    <x v="1"/>
    <x v="2"/>
    <x v="1"/>
    <x v="1"/>
    <x v="2"/>
    <x v="0"/>
    <n v="3651.26"/>
    <n v="1575.62"/>
    <n v="76930.7"/>
    <n v="631.41999999999996"/>
    <n v="28411645950"/>
    <n v="33428223810"/>
    <n v="1052283183.3333334"/>
    <n v="9155257.0372967143"/>
    <n v="243"/>
    <n v="27"/>
    <d v="2025-08-27T00:00:00"/>
    <s v="miércoles"/>
    <x v="8"/>
    <n v="78.78"/>
    <n v="2.5984362139917692"/>
    <x v="0"/>
    <s v="Normal"/>
  </r>
  <r>
    <n v="451"/>
    <x v="1"/>
    <x v="1"/>
    <x v="1"/>
    <x v="0"/>
    <x v="0"/>
    <x v="1"/>
    <n v="5880.02"/>
    <n v="1063.47"/>
    <n v="78781.98"/>
    <n v="1316.38"/>
    <n v="26949950370"/>
    <n v="174368223450"/>
    <n v="1171736972.6086957"/>
    <n v="29654358.905241817"/>
    <n v="167"/>
    <n v="23"/>
    <d v="2023-06-19T00:00:00"/>
    <s v="lunes"/>
    <x v="4"/>
    <n v="91.15"/>
    <n v="7.8825149700598809"/>
    <x v="1"/>
    <s v="Normal"/>
  </r>
  <r>
    <n v="375"/>
    <x v="2"/>
    <x v="0"/>
    <x v="2"/>
    <x v="0"/>
    <x v="2"/>
    <x v="2"/>
    <n v="6184.85"/>
    <n v="1185.56"/>
    <n v="79570.55"/>
    <n v="1410.82"/>
    <n v="16188618150"/>
    <n v="52287026220"/>
    <n v="622639159.61538458"/>
    <n v="8454049.204103576"/>
    <n v="98"/>
    <n v="26"/>
    <d v="2025-08-14T00:00:00"/>
    <s v="jueves"/>
    <x v="8"/>
    <n v="75.94"/>
    <n v="14.396122448979591"/>
    <x v="0"/>
    <s v="Crítica"/>
  </r>
  <r>
    <n v="452"/>
    <x v="0"/>
    <x v="3"/>
    <x v="0"/>
    <x v="1"/>
    <x v="2"/>
    <x v="2"/>
    <n v="6021.51"/>
    <n v="1143.18"/>
    <n v="82089.25"/>
    <n v="1059.67"/>
    <n v="7588000800"/>
    <n v="116581582620"/>
    <n v="281037066.66666669"/>
    <n v="19360855.104450542"/>
    <n v="283"/>
    <n v="27"/>
    <d v="2025-08-03T00:00:00"/>
    <s v="domingo"/>
    <x v="8"/>
    <n v="84.51"/>
    <n v="3.7444169611307423"/>
    <x v="0"/>
    <s v="Crítica"/>
  </r>
  <r>
    <n v="367"/>
    <x v="0"/>
    <x v="3"/>
    <x v="0"/>
    <x v="0"/>
    <x v="0"/>
    <x v="0"/>
    <n v="4498.24"/>
    <n v="1230.24"/>
    <n v="83315.41"/>
    <n v="1440.71"/>
    <n v="122587323961656"/>
    <n v="87661784250"/>
    <n v="5837491617221.7139"/>
    <n v="19488018.480561286"/>
    <n v="103"/>
    <n v="21"/>
    <d v="2023-12-02T00:00:00"/>
    <s v="sábado"/>
    <x v="3"/>
    <n v="89.3"/>
    <n v="13.98747572815534"/>
    <x v="0"/>
    <s v="Normal"/>
  </r>
  <r>
    <n v="202"/>
    <x v="0"/>
    <x v="1"/>
    <x v="0"/>
    <x v="0"/>
    <x v="1"/>
    <x v="2"/>
    <n v="6731.88"/>
    <n v="2861.15"/>
    <n v="84758.22"/>
    <n v="1381.62"/>
    <n v="18658974150"/>
    <n v="172888688340"/>
    <n v="666391933.92857146"/>
    <n v="25682081.133353535"/>
    <n v="275"/>
    <n v="28"/>
    <d v="2024-10-19T00:00:00"/>
    <s v="sábado"/>
    <x v="2"/>
    <n v="93.73"/>
    <n v="5.0240727272727268"/>
    <x v="1"/>
    <s v="Normal"/>
  </r>
  <r>
    <n v="337"/>
    <x v="1"/>
    <x v="0"/>
    <x v="1"/>
    <x v="1"/>
    <x v="0"/>
    <x v="0"/>
    <n v="7957.5"/>
    <n v="1858.01"/>
    <n v="85557.3"/>
    <n v="1045.3"/>
    <n v="25420715550"/>
    <n v="156768186060"/>
    <n v="1016828622"/>
    <n v="19700683.136663526"/>
    <n v="239"/>
    <n v="25"/>
    <d v="2025-02-28T00:00:00"/>
    <s v="viernes"/>
    <x v="1"/>
    <n v="87.06"/>
    <n v="4.3736401673640168"/>
    <x v="0"/>
    <s v="Normal"/>
  </r>
  <r>
    <n v="307"/>
    <x v="2"/>
    <x v="0"/>
    <x v="2"/>
    <x v="1"/>
    <x v="0"/>
    <x v="2"/>
    <n v="2572.31"/>
    <n v="831.27"/>
    <n v="87111.7"/>
    <n v="1104.94"/>
    <n v="6394258170"/>
    <n v="138923280720"/>
    <n v="220491661.03448275"/>
    <n v="54007207.809323139"/>
    <n v="272"/>
    <n v="29"/>
    <d v="2023-01-05T00:00:00"/>
    <s v="jueves"/>
    <x v="0"/>
    <n v="89.82"/>
    <n v="4.0622794117647061"/>
    <x v="0"/>
    <s v="Crític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BF6B8B-AFF6-4A8E-A5E9-BD39CA8F42C0}" name="Td_Riesgo_Regio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7" rowHeaderCaption="Regíon" colHeaderCaption="Riesgo ambiental" fieldListSortAscending="1">
  <location ref="A25:E30" firstHeaderRow="1" firstDataRow="2" firstDataCol="1"/>
  <pivotFields count="24">
    <pivotField dataField="1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axis="axisCol" showAll="0">
      <items count="4">
        <item x="2"/>
        <item x="0"/>
        <item x="1"/>
        <item t="default"/>
      </items>
    </pivotField>
    <pivotField numFmtId="4" showAll="0"/>
    <pivotField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uenta de ID_Registro" fld="0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9165B3-CD2E-43AA-B8FD-FEF7DFDD40C2}" name="Td_Recuperacion_Minera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5" rowHeaderCaption="Minera" fieldListSortAscending="1">
  <location ref="A17:B21" firstHeaderRow="1" firstDataRow="1" firstDataCol="1"/>
  <pivotFields count="24">
    <pivotField showAll="0"/>
    <pivotField axis="axisRow" showAll="0">
      <items count="4">
        <item x="2"/>
        <item x="0"/>
        <item x="1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Recuperación Metal Porcentaje" fld="20" subtotal="average" baseField="1" baseItem="0"/>
  </dataFields>
  <chartFormats count="4"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8E3C4-FE48-4370-B9FE-838D8CF36327}" name="Td_Tonelada_Region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1" rowHeaderCaption="Regíon">
  <location ref="A10:B14" firstHeaderRow="1" firstDataRow="1" firstDataCol="1"/>
  <pivotFields count="24"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4" showAll="0"/>
    <pivotField numFmtId="4" showAll="0"/>
    <pivotField numFmtId="4" showAll="0"/>
    <pivotField numFmtId="4" showAll="0"/>
    <pivotField numFmtId="165" showAll="0"/>
    <pivotField numFmtId="42" showAll="0"/>
    <pivotField numFmtId="165" showAll="0"/>
    <pivotField dataField="1"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Costo Tonelada" fld="14" subtotal="average" baseField="3" baseItem="0" numFmtId="42"/>
  </dataFields>
  <chartFormats count="4">
    <chartFormat chart="2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DE3FF-6658-4073-B096-822E4C42266D}" name="TD_Tecnologia_emisione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6" rowHeaderCaption="Tecnología" fieldListSortAscending="1">
  <location ref="A42:B46" firstHeaderRow="1" firstDataRow="1" firstDataCol="1"/>
  <pivotFields count="24"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4" showAll="0"/>
    <pivotField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dataField="1"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Promedio de Emisiones por empleado" fld="21" subtotal="average" baseField="5" baseItem="0"/>
  </dataFields>
  <formats count="2">
    <format dxfId="34">
      <pivotArea collapsedLevelsAreSubtotals="1" fieldPosition="0">
        <references count="1">
          <reference field="5" count="0"/>
        </references>
      </pivotArea>
    </format>
    <format dxfId="33">
      <pivotArea grandRow="1" outline="0" collapsedLevelsAreSubtotals="1" fieldPosition="0"/>
    </format>
  </formats>
  <chartFormats count="4">
    <chartFormat chart="3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8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8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52C2B-E028-486D-9307-4F1220981DCC}" name="Td_Clasificacion_Tecnologia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50" rowHeaderCaption="Clasificación " colHeaderCaption="Tecnologia" fieldListSortAscending="1">
  <location ref="A33:E38" firstHeaderRow="1" firstDataRow="2" firstDataCol="1"/>
  <pivotFields count="24"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numFmtId="4" showAll="0"/>
    <pivotField dataField="1"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Promedio de Consumo_Energia_MWh" fld="8" subtotal="average" baseField="22" baseItem="0" numFmtId="4"/>
  </dataFields>
  <chartFormats count="3">
    <chartFormat chart="37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7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7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97DA2-9ACB-4C17-A498-D08BDA44AA4C}" name="Td_Metodo_Costo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5" rowHeaderCaption="Metodo">
  <location ref="E42:F45" firstHeaderRow="1" firstDataRow="1" firstDataCol="1"/>
  <pivotFields count="24"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numFmtId="4" showAll="0"/>
    <pivotField numFmtId="4" showAll="0"/>
    <pivotField numFmtId="4" showAll="0"/>
    <pivotField numFmtId="4" showAll="0"/>
    <pivotField numFmtId="165" showAll="0"/>
    <pivotField dataField="1"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Promedio de Costo Operativo CLP" fld="12" subtotal="average" baseField="4" baseItem="0" numFmtId="4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D5B2C-85A3-4BA8-9D06-6D537E8A0A65}" name="Td_Mineria_Reg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7" rowHeaderCaption="Regíon" colHeaderCaption="Mineral">
  <location ref="A2:G7" firstHeaderRow="1" firstDataRow="2" firstDataCol="1"/>
  <pivotFields count="24">
    <pivotField showAll="0"/>
    <pivotField showAll="0"/>
    <pivotField axis="axisCol" showAll="0">
      <items count="6">
        <item x="0"/>
        <item x="4"/>
        <item x="2"/>
        <item x="1"/>
        <item x="3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dataField="1" numFmtId="4" showAll="0"/>
    <pivotField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Producción_Toneladas" fld="7" baseField="0" baseItem="0" numFmtId="4"/>
  </dataFields>
  <formats count="1">
    <format dxfId="35">
      <pivotArea collapsedLevelsAreSubtotals="1" fieldPosition="0">
        <references count="1">
          <reference field="3" count="0"/>
        </references>
      </pivotArea>
    </format>
  </formats>
  <chartFormats count="5">
    <chartFormat chart="7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2DFB1-2E24-4C64-A8BE-D0FBF0E977D4}" name="Td_Mes_Consumo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49" rowHeaderCaption="Mes">
  <location ref="D10:E23" firstHeaderRow="1" firstDataRow="1" firstDataCol="1"/>
  <pivotFields count="24">
    <pivotField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4" showAll="0"/>
    <pivotField dataField="1" numFmtId="4" showAll="0"/>
    <pivotField numFmtId="4" showAll="0"/>
    <pivotField numFmtId="4" showAll="0"/>
    <pivotField numFmtId="165" showAll="0"/>
    <pivotField numFmtId="42" showAll="0"/>
    <pivotField numFmtId="165" showAll="0"/>
    <pivotField numFmtId="42" showAll="0"/>
    <pivotField showAll="0"/>
    <pivotField showAll="0"/>
    <pivotField numFmtId="164" showAll="0"/>
    <pivotField showAll="0"/>
    <pivotField axis="axisRow" showAll="0">
      <items count="13">
        <item x="0"/>
        <item x="1"/>
        <item x="7"/>
        <item x="11"/>
        <item x="9"/>
        <item x="4"/>
        <item x="6"/>
        <item x="8"/>
        <item x="10"/>
        <item x="2"/>
        <item x="5"/>
        <item x="3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Consumo Energia" fld="8" baseField="19" baseItem="0" numFmtId="4"/>
  </dataFields>
  <chartFormats count="1"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ineral" xr10:uid="{4E016C56-7143-4CB7-886B-A894EF79D126}" sourceName="Mineral">
  <pivotTables>
    <pivotTable tabId="14" name="Td_Recuperacion_Minera"/>
    <pivotTable tabId="14" name="Td_Tonelada_Region"/>
    <pivotTable tabId="14" name="TD_Tecnologia_emisiones"/>
    <pivotTable tabId="14" name="Td_Clasificacion_Tecnologia"/>
    <pivotTable tabId="14" name="Td_Riesgo_Region"/>
    <pivotTable tabId="14" name="Td_Mineria_Region"/>
    <pivotTable tabId="14" name="Td_Mes_Consumo"/>
    <pivotTable tabId="14" name="Td_Metodo_Costo"/>
  </pivotTables>
  <data>
    <tabular pivotCacheId="218893096">
      <items count="5">
        <i x="0" s="1"/>
        <i x="4" s="1"/>
        <i x="2" s="1"/>
        <i x="1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gión" xr10:uid="{D3953269-AE74-419C-BADE-58403F6A9230}" sourceName="Región">
  <pivotTables>
    <pivotTable tabId="14" name="Td_Recuperacion_Minera"/>
    <pivotTable tabId="14" name="Td_Tonelada_Region"/>
    <pivotTable tabId="14" name="TD_Tecnologia_emisiones"/>
    <pivotTable tabId="14" name="Td_Clasificacion_Tecnologia"/>
    <pivotTable tabId="14" name="Td_Riesgo_Region"/>
    <pivotTable tabId="14" name="Td_Mineria_Region"/>
    <pivotTable tabId="14" name="Td_Mes_Consumo"/>
    <pivotTable tabId="14" name="Td_Metodo_Costo"/>
  </pivotTables>
  <data>
    <tabular pivotCacheId="218893096">
      <items count="3">
        <i x="1" s="1"/>
        <i x="2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cnología_Utilizada" xr10:uid="{0F3233C2-987F-4ECB-AA4B-9B8C491EB056}" sourceName="Tecnología_Utilizada">
  <pivotTables>
    <pivotTable tabId="14" name="TD_Tecnologia_emisiones"/>
    <pivotTable tabId="14" name="Td_Clasificacion_Tecnologia"/>
  </pivotTables>
  <data>
    <tabular pivotCacheId="218893096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_Ingreso" xr10:uid="{CCCE33BB-587F-4A6E-951A-2861F9EF84CF}" sourceName="Mes_Ingreso">
  <pivotTables>
    <pivotTable tabId="14" name="Td_Mes_Consumo"/>
    <pivotTable tabId="14" name="Td_Tonelada_Region"/>
    <pivotTable tabId="14" name="TD_Tecnologia_emisiones"/>
    <pivotTable tabId="14" name="Td_Recuperacion_Minera"/>
    <pivotTable tabId="14" name="Td_Clasificacion_Tecnologia"/>
    <pivotTable tabId="14" name="Td_Riesgo_Region"/>
    <pivotTable tabId="14" name="Td_Mineria_Region"/>
    <pivotTable tabId="14" name="Td_Metodo_Costo"/>
  </pivotTables>
  <data>
    <tabular pivotCacheId="218893096">
      <items count="12">
        <i x="0" s="1"/>
        <i x="1" s="1"/>
        <i x="7" s="1"/>
        <i x="11" s="1"/>
        <i x="9" s="1"/>
        <i x="4" s="1"/>
        <i x="6" s="1"/>
        <i x="8" s="1"/>
        <i x="10" s="1"/>
        <i x="2" s="1"/>
        <i x="5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neral 1" xr10:uid="{9961BB90-9472-4BE5-825F-16CEA1B0F374}" cache="SegmentaciónDeDatos_Mineral" caption="Mineral" columnCount="3" style="SlicerStyleDark2" rowHeight="234950"/>
  <slicer name="Región 1" xr10:uid="{4742EC67-FBE3-47F8-8A94-5EF221463F82}" cache="SegmentaciónDeDatos_Región" caption="Región" columnCount="3" style="SlicerStyleDark2" rowHeight="234950"/>
  <slicer name="Tecnología_Utilizada 1" xr10:uid="{F7E6CF66-F644-47EB-9EAA-AC0299349906}" cache="SegmentaciónDeDatos_Tecnología_Utilizada" caption="Tecnología_Utilizada" style="SlicerStyleDark2" rowHeight="234950"/>
  <slicer name="Mes_Ingreso 1" xr10:uid="{3A0BC11B-7E49-4071-93A2-E6E5CE3C71B4}" cache="SegmentaciónDeDatos_Mes_Ingreso" caption="Mes_Ingreso" columnCount="2" style="SlicerStyleDark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84674E-F60C-4F15-8D83-E1DA8B4C84AB}" name="Tb_prod" displayName="Tb_prod" ref="A1:X501" totalsRowShown="0" headerRowDxfId="32" headerRowBorderDxfId="31" tableBorderDxfId="30">
  <autoFilter ref="A1:X501" xr:uid="{5784674E-F60C-4F15-8D83-E1DA8B4C84AB}"/>
  <sortState xmlns:xlrd2="http://schemas.microsoft.com/office/spreadsheetml/2017/richdata2" ref="A2:X501">
    <sortCondition ref="J2:J501"/>
  </sortState>
  <tableColumns count="24">
    <tableColumn id="1" xr3:uid="{D1982F60-6E70-4DE9-93B5-42A0519D596C}" name="ID_Registro"/>
    <tableColumn id="16" xr3:uid="{AE265C57-891D-4741-B2BC-387887A9E497}" name="nombre" dataDxfId="29">
      <calculatedColumnFormula>VLOOKUP(Tb_prod[[#This Row],[Región]],AUX_REGION[],2,0)</calculatedColumnFormula>
    </tableColumn>
    <tableColumn id="2" xr3:uid="{6F363336-D5D4-4C7B-961E-D4868F00D27E}" name="Mineral"/>
    <tableColumn id="3" xr3:uid="{F286E614-CC2F-4F0B-8DF9-953DE0A89C0B}" name="Región"/>
    <tableColumn id="4" xr3:uid="{3523F313-0559-4DDB-9FF3-9540534ED3B1}" name="Metodo_Extraccion"/>
    <tableColumn id="12" xr3:uid="{AF70C5E0-D293-4226-A4D5-4C647659FCF9}" name="Tecnología_Utilizada"/>
    <tableColumn id="13" xr3:uid="{5FA8C118-898B-4B68-85B4-9E1C94A22857}" name="Riesgo_Ambiental"/>
    <tableColumn id="5" xr3:uid="{8117CFE9-5EFC-4D5F-A92D-946EFDB195D9}" name="Producción_Toneladas" dataDxfId="28"/>
    <tableColumn id="6" xr3:uid="{B90BF226-DAA9-493C-A144-523CBD377EAA}" name="Consumo_Energia_MWh" dataDxfId="27"/>
    <tableColumn id="14" xr3:uid="{269EACDF-9063-4BDA-BD5C-11083FA1169E}" name="Agua_Consumida_m3" dataDxfId="26"/>
    <tableColumn id="8" xr3:uid="{40C4EA25-5729-4C0A-81D5-10F785057897}" name="Emisiones_CO2_ton" dataDxfId="25"/>
    <tableColumn id="20" xr3:uid="{B956513F-1CA0-441B-9062-645B1D546CEA}" name="Costo_Mantenimiento_CLP" dataDxfId="24" dataCellStyle="Moneda [0]"/>
    <tableColumn id="19" xr3:uid="{629BFC30-CF08-43ED-B218-68E7A8E1DC2D}" name="Costo_Operativo_CLP" dataDxfId="23" dataCellStyle="Moneda [0]"/>
    <tableColumn id="24" xr3:uid="{BE56B990-143D-4B20-915C-AA4B7D073645}" name="Costo_por_Dia" dataDxfId="22" dataCellStyle="Moneda [0]">
      <calculatedColumnFormula xml:space="preserve"> Tb_prod[[#This Row],[Costo_Mantenimiento_CLP]] / Tb_prod[[#This Row],[Dias_Operación_Mes]]</calculatedColumnFormula>
    </tableColumn>
    <tableColumn id="21" xr3:uid="{051369E3-BFB2-4ADF-A00C-39B6DE60227D}" name="Costo_Promedio_Por_Tonelada" dataDxfId="21" dataCellStyle="Moneda [0]">
      <calculatedColumnFormula>Tb_prod[[#This Row],[Costo_Operativo_CLP]] / Tb_prod[[#This Row],[Producción_Toneladas]]</calculatedColumnFormula>
    </tableColumn>
    <tableColumn id="9" xr3:uid="{1CD935EE-041E-4EC5-A125-01BDB4A82551}" name="Cantidad_Empleados"/>
    <tableColumn id="10" xr3:uid="{F39D1298-BABE-410B-AC74-D4825002FED9}" name="Dias_Operación_Mes"/>
    <tableColumn id="11" xr3:uid="{C8CEFE39-C1D2-4E42-9B5C-371F9693E6A7}" name="Fecha_ingreso" dataDxfId="20"/>
    <tableColumn id="17" xr3:uid="{BBD7EDA6-4EC4-4A02-B8A6-FA24A1592666}" name="Dias_Ingreso" dataDxfId="19">
      <calculatedColumnFormula>TEXT(R2,"dddd")</calculatedColumnFormula>
    </tableColumn>
    <tableColumn id="18" xr3:uid="{EC56B3F3-0939-4B5B-976B-0D810B057037}" name="Mes_Ingreso" dataDxfId="18">
      <calculatedColumnFormula>TEXT(R2,"mmmm")</calculatedColumnFormula>
    </tableColumn>
    <tableColumn id="15" xr3:uid="{01BB6F38-6BEA-4529-994A-90209DF5C596}" name="Recuperación_Metal_Porcentaje"/>
    <tableColumn id="22" xr3:uid="{60268856-939B-4AAD-9057-8ADE5051408E}" name="Emisiones por empleado" dataDxfId="17">
      <calculatedColumnFormula xml:space="preserve"> Tb_prod[[#This Row],[Emisiones_CO2_ton]] / Tb_prod[[#This Row],[Cantidad_Empleados]]</calculatedColumnFormula>
    </tableColumn>
    <tableColumn id="23" xr3:uid="{E1AA6B5A-7584-4614-A320-A1576FFEBE66}" name="Clasificación por eficiencia" dataDxfId="16">
      <calculatedColumnFormula>IF(Tb_prod[[#This Row],[Recuperación_Metal_Porcentaje]]&gt;90,"Alta",IF(Tb_prod[[#This Row],[Recuperación_Metal_Porcentaje]]&gt;75,"Media","Baja"))</calculatedColumnFormula>
    </tableColumn>
    <tableColumn id="7" xr3:uid="{40EAB0CF-6E48-4685-BBA2-FFE7A1C475B4}" name="Clasificación Ambiental Energética" dataDxfId="15">
      <calculatedColumnFormula>IF(AND(Tb_prod[[#This Row],[Consumo_Energia_MWh]]&lt;=2000,Tb_prod[[#This Row],[Riesgo_Ambiental]]="Alto"),"Crítica","Normal")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FC44E7-4D87-44C0-BD7C-6038AD6E102F}" name="AUX_REGION" displayName="AUX_REGION" ref="C3:D6" totalsRowShown="0" headerRowDxfId="14" dataDxfId="13">
  <autoFilter ref="C3:D6" xr:uid="{F5FC44E7-4D87-44C0-BD7C-6038AD6E102F}"/>
  <tableColumns count="2">
    <tableColumn id="1" xr3:uid="{A41D3AFE-5372-453A-8F81-A3BD11DE4578}" name="Región" dataDxfId="12"/>
    <tableColumn id="2" xr3:uid="{CE437C07-A996-4EC8-8D4A-C0D708B91491}" name="Nombre" dataDxfId="11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8F1B0F-BE76-46AA-8846-32B6317834C5}" name="AUX_MINERAL" displayName="AUX_MINERAL" ref="A3:A8" totalsRowShown="0" headerRowDxfId="10" headerRowBorderDxfId="9">
  <autoFilter ref="A3:A8" xr:uid="{9F8F1B0F-BE76-46AA-8846-32B6317834C5}"/>
  <tableColumns count="1">
    <tableColumn id="1" xr3:uid="{34EBF770-34DD-4090-9AAE-23F4D096A2A9}" name="Mineral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25C513A-2A38-4E92-AF38-C51D9526CA3C}" name="AUX_EXTRACCION" displayName="AUX_EXTRACCION" ref="F3:F5" totalsRowShown="0" headerRowDxfId="8" headerRowBorderDxfId="7">
  <autoFilter ref="F3:F5" xr:uid="{825C513A-2A38-4E92-AF38-C51D9526CA3C}"/>
  <tableColumns count="1">
    <tableColumn id="1" xr3:uid="{BA98E68D-641D-4E31-8683-1A05EBD353C7}" name="Metodo_Extraccion"/>
  </tableColumns>
  <tableStyleInfo name="TableStyleMedium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B3D2C60-C4E1-49CD-BB37-534428DC1318}" name="AUX_TECNOLOGIA" displayName="AUX_TECNOLOGIA" ref="H3:H6" totalsRowShown="0" headerRowDxfId="6" headerRowBorderDxfId="5">
  <autoFilter ref="H3:H6" xr:uid="{1B3D2C60-C4E1-49CD-BB37-534428DC1318}"/>
  <tableColumns count="1">
    <tableColumn id="1" xr3:uid="{1437CC9F-4820-4B47-AFCD-2AC1763610D6}" name="Tecnología_Utilizada"/>
  </tableColumns>
  <tableStyleInfo name="TableStyleMedium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A8A76EE-4B97-40FD-ADE3-0AEA51C0C865}" name="AUX_RIESGO" displayName="AUX_RIESGO" ref="J3:J6" totalsRowShown="0" headerRowDxfId="4" headerRowBorderDxfId="3">
  <autoFilter ref="J3:J6" xr:uid="{1A8A76EE-4B97-40FD-ADE3-0AEA51C0C865}"/>
  <tableColumns count="1">
    <tableColumn id="1" xr3:uid="{C366A965-2EB2-4420-AC42-EEC84B67DFFA}" name="Riesgo_Ambiental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A501"/>
  <sheetViews>
    <sheetView topLeftCell="L1" zoomScale="76" zoomScaleNormal="76" workbookViewId="0">
      <selection activeCell="R5" sqref="R5"/>
    </sheetView>
  </sheetViews>
  <sheetFormatPr baseColWidth="10" defaultColWidth="8.88671875" defaultRowHeight="14.4"/>
  <cols>
    <col min="1" max="1" width="16.88671875" bestFit="1" customWidth="1"/>
    <col min="2" max="2" width="15.21875" bestFit="1" customWidth="1"/>
    <col min="3" max="3" width="13.44140625" bestFit="1" customWidth="1"/>
    <col min="4" max="4" width="12.77734375" bestFit="1" customWidth="1"/>
    <col min="5" max="5" width="23.88671875" bestFit="1" customWidth="1"/>
    <col min="6" max="6" width="24.77734375" bestFit="1" customWidth="1"/>
    <col min="7" max="7" width="22.44140625" bestFit="1" customWidth="1"/>
    <col min="8" max="8" width="26.6640625" bestFit="1" customWidth="1"/>
    <col min="9" max="9" width="28.6640625" style="9" bestFit="1" customWidth="1"/>
    <col min="10" max="10" width="25.6640625" bestFit="1" customWidth="1"/>
    <col min="11" max="11" width="24.109375" bestFit="1" customWidth="1"/>
    <col min="12" max="12" width="28.44140625" bestFit="1" customWidth="1"/>
    <col min="13" max="13" width="24.109375" bestFit="1" customWidth="1"/>
    <col min="14" max="14" width="22.44140625" customWidth="1"/>
    <col min="15" max="15" width="34.6640625" bestFit="1" customWidth="1"/>
    <col min="16" max="17" width="25.21875" bestFit="1" customWidth="1"/>
    <col min="18" max="18" width="19.21875" bestFit="1" customWidth="1"/>
    <col min="19" max="20" width="18.109375" bestFit="1" customWidth="1"/>
    <col min="21" max="21" width="35.44140625" customWidth="1"/>
    <col min="22" max="22" width="28.33203125" bestFit="1" customWidth="1"/>
    <col min="23" max="23" width="29.33203125" bestFit="1" customWidth="1"/>
    <col min="24" max="24" width="36.33203125" bestFit="1" customWidth="1"/>
  </cols>
  <sheetData>
    <row r="1" spans="1:27">
      <c r="A1" s="1" t="s">
        <v>0</v>
      </c>
      <c r="B1" s="1" t="s">
        <v>33</v>
      </c>
      <c r="C1" s="1" t="s">
        <v>1</v>
      </c>
      <c r="D1" s="1" t="s">
        <v>2</v>
      </c>
      <c r="E1" s="1" t="s">
        <v>3</v>
      </c>
      <c r="F1" s="1" t="s">
        <v>9</v>
      </c>
      <c r="G1" s="1" t="s">
        <v>10</v>
      </c>
      <c r="H1" s="1" t="s">
        <v>4</v>
      </c>
      <c r="I1" s="1" t="s">
        <v>5</v>
      </c>
      <c r="J1" s="1" t="s">
        <v>11</v>
      </c>
      <c r="K1" s="1" t="s">
        <v>6</v>
      </c>
      <c r="L1" s="10" t="s">
        <v>39</v>
      </c>
      <c r="M1" s="9" t="s">
        <v>38</v>
      </c>
      <c r="N1" s="1" t="s">
        <v>46</v>
      </c>
      <c r="O1" s="1" t="s">
        <v>47</v>
      </c>
      <c r="P1" s="1" t="s">
        <v>7</v>
      </c>
      <c r="Q1" s="1" t="s">
        <v>8</v>
      </c>
      <c r="R1" s="5" t="s">
        <v>43</v>
      </c>
      <c r="S1" s="1" t="s">
        <v>40</v>
      </c>
      <c r="T1" s="1" t="s">
        <v>41</v>
      </c>
      <c r="U1" s="1" t="s">
        <v>45</v>
      </c>
      <c r="V1" s="1" t="s">
        <v>42</v>
      </c>
      <c r="W1" s="1" t="s">
        <v>44</v>
      </c>
      <c r="X1" s="1" t="s">
        <v>63</v>
      </c>
    </row>
    <row r="2" spans="1:27">
      <c r="A2">
        <v>324</v>
      </c>
      <c r="B2" t="str">
        <f>VLOOKUP(Tb_prod[[#This Row],[Región]],AUX_REGION[],2,0)</f>
        <v>Minera Romero</v>
      </c>
      <c r="C2" t="s">
        <v>27</v>
      </c>
      <c r="D2" t="s">
        <v>23</v>
      </c>
      <c r="E2" t="s">
        <v>14</v>
      </c>
      <c r="F2" t="s">
        <v>24</v>
      </c>
      <c r="G2" t="s">
        <v>16</v>
      </c>
      <c r="H2" s="23">
        <v>5266.63</v>
      </c>
      <c r="I2" s="23">
        <v>1361.58</v>
      </c>
      <c r="J2" s="23">
        <v>13448.85</v>
      </c>
      <c r="K2" s="23">
        <v>798.09</v>
      </c>
      <c r="L2" s="10">
        <v>24321269700</v>
      </c>
      <c r="M2" s="9">
        <v>73835920710</v>
      </c>
      <c r="N2" s="12">
        <f xml:space="preserve"> Tb_prod[[#This Row],[Costo_Mantenimiento_CLP]] / Tb_prod[[#This Row],[Dias_Operación_Mes]]</f>
        <v>935433450</v>
      </c>
      <c r="O2" s="11">
        <f>Tb_prod[[#This Row],[Costo_Operativo_CLP]] / Tb_prod[[#This Row],[Producción_Toneladas]]</f>
        <v>14019576.220467357</v>
      </c>
      <c r="P2">
        <v>257</v>
      </c>
      <c r="Q2">
        <v>26</v>
      </c>
      <c r="R2" s="6">
        <v>45667</v>
      </c>
      <c r="S2" t="str">
        <f t="shared" ref="S2:S65" si="0">TEXT(R2,"dddd")</f>
        <v>viernes</v>
      </c>
      <c r="T2" t="str">
        <f t="shared" ref="T2:T65" si="1">TEXT(R2,"mmmm")</f>
        <v>enero</v>
      </c>
      <c r="U2">
        <v>84.31</v>
      </c>
      <c r="V2">
        <f xml:space="preserve"> Tb_prod[[#This Row],[Emisiones_CO2_ton]] / Tb_prod[[#This Row],[Cantidad_Empleados]]</f>
        <v>3.1054085603112842</v>
      </c>
      <c r="W2" t="str">
        <f>IF(Tb_prod[[#This Row],[Recuperación_Metal_Porcentaje]]&gt;90,"Alta",IF(Tb_prod[[#This Row],[Recuperación_Metal_Porcentaje]]&gt;75,"Media","Baja"))</f>
        <v>Media</v>
      </c>
      <c r="X2" t="str">
        <f>IF(AND(Tb_prod[[#This Row],[Consumo_Energia_MWh]]&lt;=2000,Tb_prod[[#This Row],[Riesgo_Ambiental]]="Alto"),"Crítica","Normal")</f>
        <v>Normal</v>
      </c>
    </row>
    <row r="3" spans="1:27">
      <c r="A3">
        <v>46</v>
      </c>
      <c r="B3" t="str">
        <f>VLOOKUP(Tb_prod[[#This Row],[Región]],AUX_REGION[],2,0)</f>
        <v>Minera Staff</v>
      </c>
      <c r="C3" t="s">
        <v>27</v>
      </c>
      <c r="D3" t="s">
        <v>13</v>
      </c>
      <c r="E3" t="s">
        <v>14</v>
      </c>
      <c r="F3" t="s">
        <v>24</v>
      </c>
      <c r="G3" t="s">
        <v>22</v>
      </c>
      <c r="H3" s="23">
        <v>7121.06</v>
      </c>
      <c r="I3" s="23">
        <v>1673.73</v>
      </c>
      <c r="J3" s="23">
        <v>15298.01</v>
      </c>
      <c r="K3" s="23">
        <v>886.51</v>
      </c>
      <c r="L3" s="10">
        <v>26659073430</v>
      </c>
      <c r="M3" s="9">
        <v>102926562570</v>
      </c>
      <c r="N3" s="12">
        <f xml:space="preserve"> Tb_prod[[#This Row],[Costo_Mantenimiento_CLP]] / Tb_prod[[#This Row],[Dias_Operación_Mes]]</f>
        <v>888635781</v>
      </c>
      <c r="O3" s="11">
        <f>Tb_prod[[#This Row],[Costo_Operativo_CLP]] / Tb_prod[[#This Row],[Producción_Toneladas]]</f>
        <v>14453826.05539063</v>
      </c>
      <c r="P3">
        <v>298</v>
      </c>
      <c r="Q3">
        <v>30</v>
      </c>
      <c r="R3" s="6">
        <v>45702</v>
      </c>
      <c r="S3" t="str">
        <f t="shared" si="0"/>
        <v>viernes</v>
      </c>
      <c r="T3" t="str">
        <f t="shared" si="1"/>
        <v>febrero</v>
      </c>
      <c r="U3">
        <v>90.73</v>
      </c>
      <c r="V3">
        <f xml:space="preserve"> Tb_prod[[#This Row],[Emisiones_CO2_ton]] / Tb_prod[[#This Row],[Cantidad_Empleados]]</f>
        <v>2.9748657718120803</v>
      </c>
      <c r="W3" t="str">
        <f>IF(Tb_prod[[#This Row],[Recuperación_Metal_Porcentaje]]&gt;90,"Alta",IF(Tb_prod[[#This Row],[Recuperación_Metal_Porcentaje]]&gt;75,"Media","Baja"))</f>
        <v>Alta</v>
      </c>
      <c r="X3" t="str">
        <f>IF(AND(Tb_prod[[#This Row],[Consumo_Energia_MWh]]&lt;=2000,Tb_prod[[#This Row],[Riesgo_Ambiental]]="Alto"),"Crítica","Normal")</f>
        <v>Normal</v>
      </c>
    </row>
    <row r="4" spans="1:27">
      <c r="A4">
        <v>447</v>
      </c>
      <c r="B4" t="str">
        <f>VLOOKUP(Tb_prod[[#This Row],[Región]],AUX_REGION[],2,0)</f>
        <v>Minera del Norte</v>
      </c>
      <c r="C4" t="s">
        <v>21</v>
      </c>
      <c r="D4" t="s">
        <v>18</v>
      </c>
      <c r="E4" t="s">
        <v>19</v>
      </c>
      <c r="F4" t="s">
        <v>24</v>
      </c>
      <c r="G4" t="s">
        <v>20</v>
      </c>
      <c r="H4" s="23">
        <v>6604.78</v>
      </c>
      <c r="I4" s="23">
        <v>2410.0500000000002</v>
      </c>
      <c r="J4" s="23">
        <v>17957.05</v>
      </c>
      <c r="K4" s="23">
        <v>1265.27</v>
      </c>
      <c r="L4" s="10">
        <v>29913755400</v>
      </c>
      <c r="M4" s="9">
        <v>79043669460</v>
      </c>
      <c r="N4" s="12">
        <f xml:space="preserve"> Tb_prod[[#This Row],[Costo_Mantenimiento_CLP]] / Tb_prod[[#This Row],[Dias_Operación_Mes]]</f>
        <v>1150529053.8461537</v>
      </c>
      <c r="O4" s="11">
        <f>Tb_prod[[#This Row],[Costo_Operativo_CLP]] / Tb_prod[[#This Row],[Producción_Toneladas]]</f>
        <v>11967646.077537784</v>
      </c>
      <c r="P4">
        <v>83</v>
      </c>
      <c r="Q4">
        <v>26</v>
      </c>
      <c r="R4" s="6">
        <v>45959</v>
      </c>
      <c r="S4" t="str">
        <f t="shared" si="0"/>
        <v>miércoles</v>
      </c>
      <c r="T4" t="str">
        <f t="shared" si="1"/>
        <v>octubre</v>
      </c>
      <c r="U4">
        <v>81.33</v>
      </c>
      <c r="V4">
        <f xml:space="preserve"> Tb_prod[[#This Row],[Emisiones_CO2_ton]] / Tb_prod[[#This Row],[Cantidad_Empleados]]</f>
        <v>15.244216867469879</v>
      </c>
      <c r="W4" t="str">
        <f>IF(Tb_prod[[#This Row],[Recuperación_Metal_Porcentaje]]&gt;90,"Alta",IF(Tb_prod[[#This Row],[Recuperación_Metal_Porcentaje]]&gt;75,"Media","Baja"))</f>
        <v>Media</v>
      </c>
      <c r="X4" t="str">
        <f>IF(AND(Tb_prod[[#This Row],[Consumo_Energia_MWh]]&lt;=2000,Tb_prod[[#This Row],[Riesgo_Ambiental]]="Alto"),"Crítica","Normal")</f>
        <v>Normal</v>
      </c>
    </row>
    <row r="5" spans="1:27">
      <c r="A5">
        <v>330</v>
      </c>
      <c r="B5" t="str">
        <f>VLOOKUP(Tb_prod[[#This Row],[Región]],AUX_REGION[],2,0)</f>
        <v>Minera Staff</v>
      </c>
      <c r="C5" t="s">
        <v>25</v>
      </c>
      <c r="D5" t="s">
        <v>13</v>
      </c>
      <c r="E5" t="s">
        <v>14</v>
      </c>
      <c r="F5" t="s">
        <v>24</v>
      </c>
      <c r="G5" t="s">
        <v>22</v>
      </c>
      <c r="H5" s="23">
        <v>5066.37</v>
      </c>
      <c r="I5" s="23">
        <v>3148.83</v>
      </c>
      <c r="J5" s="23">
        <v>21044.09</v>
      </c>
      <c r="K5" s="23">
        <v>1354.01</v>
      </c>
      <c r="L5" s="10">
        <v>22434076350</v>
      </c>
      <c r="M5" s="9">
        <v>140198899770</v>
      </c>
      <c r="N5" s="12">
        <f xml:space="preserve"> Tb_prod[[#This Row],[Costo_Mantenimiento_CLP]] / Tb_prod[[#This Row],[Dias_Operación_Mes]]</f>
        <v>975394623.9130435</v>
      </c>
      <c r="O5" s="11">
        <f>Tb_prod[[#This Row],[Costo_Operativo_CLP]] / Tb_prod[[#This Row],[Producción_Toneladas]]</f>
        <v>27672455.776028991</v>
      </c>
      <c r="P5">
        <v>286</v>
      </c>
      <c r="Q5">
        <v>23</v>
      </c>
      <c r="R5" s="6">
        <v>45265</v>
      </c>
      <c r="S5" t="str">
        <f t="shared" si="0"/>
        <v>martes</v>
      </c>
      <c r="T5" t="str">
        <f t="shared" si="1"/>
        <v>diciembre</v>
      </c>
      <c r="U5">
        <v>73.19</v>
      </c>
      <c r="V5">
        <f xml:space="preserve"> Tb_prod[[#This Row],[Emisiones_CO2_ton]] / Tb_prod[[#This Row],[Cantidad_Empleados]]</f>
        <v>4.7343006993006993</v>
      </c>
      <c r="W5" t="str">
        <f>IF(Tb_prod[[#This Row],[Recuperación_Metal_Porcentaje]]&gt;90,"Alta",IF(Tb_prod[[#This Row],[Recuperación_Metal_Porcentaje]]&gt;75,"Media","Baja"))</f>
        <v>Baja</v>
      </c>
      <c r="X5" t="str">
        <f>IF(AND(Tb_prod[[#This Row],[Consumo_Energia_MWh]]&lt;=2000,Tb_prod[[#This Row],[Riesgo_Ambiental]]="Alto"),"Crítica","Normal")</f>
        <v>Normal</v>
      </c>
    </row>
    <row r="6" spans="1:27">
      <c r="A6">
        <v>267</v>
      </c>
      <c r="B6" t="str">
        <f>VLOOKUP(Tb_prod[[#This Row],[Región]],AUX_REGION[],2,0)</f>
        <v>Minera Staff</v>
      </c>
      <c r="C6" t="s">
        <v>12</v>
      </c>
      <c r="D6" t="s">
        <v>13</v>
      </c>
      <c r="E6" t="s">
        <v>14</v>
      </c>
      <c r="F6" t="s">
        <v>15</v>
      </c>
      <c r="G6" t="s">
        <v>22</v>
      </c>
      <c r="H6" s="23">
        <v>5575.32</v>
      </c>
      <c r="I6" s="23">
        <v>1455.72</v>
      </c>
      <c r="J6" s="23">
        <v>21161.88</v>
      </c>
      <c r="K6" s="23">
        <v>708.12</v>
      </c>
      <c r="L6" s="10">
        <v>12515887800</v>
      </c>
      <c r="M6" s="9">
        <v>53309008620</v>
      </c>
      <c r="N6" s="12">
        <f xml:space="preserve"> Tb_prod[[#This Row],[Costo_Mantenimiento_CLP]] / Tb_prod[[#This Row],[Dias_Operación_Mes]]</f>
        <v>521495325</v>
      </c>
      <c r="O6" s="11">
        <f>Tb_prod[[#This Row],[Costo_Operativo_CLP]] / Tb_prod[[#This Row],[Producción_Toneladas]]</f>
        <v>9561605.1849938668</v>
      </c>
      <c r="P6">
        <v>160</v>
      </c>
      <c r="Q6">
        <v>24</v>
      </c>
      <c r="R6" s="6">
        <v>45081</v>
      </c>
      <c r="S6" t="str">
        <f t="shared" si="0"/>
        <v>domingo</v>
      </c>
      <c r="T6" t="str">
        <f t="shared" si="1"/>
        <v>junio</v>
      </c>
      <c r="U6">
        <v>71.61</v>
      </c>
      <c r="V6">
        <f xml:space="preserve"> Tb_prod[[#This Row],[Emisiones_CO2_ton]] / Tb_prod[[#This Row],[Cantidad_Empleados]]</f>
        <v>4.4257499999999999</v>
      </c>
      <c r="W6" t="str">
        <f>IF(Tb_prod[[#This Row],[Recuperación_Metal_Porcentaje]]&gt;90,"Alta",IF(Tb_prod[[#This Row],[Recuperación_Metal_Porcentaje]]&gt;75,"Media","Baja"))</f>
        <v>Baja</v>
      </c>
      <c r="X6" t="str">
        <f>IF(AND(Tb_prod[[#This Row],[Consumo_Energia_MWh]]&lt;=2000,Tb_prod[[#This Row],[Riesgo_Ambiental]]="Alto"),"Crítica","Normal")</f>
        <v>Normal</v>
      </c>
    </row>
    <row r="7" spans="1:27">
      <c r="A7">
        <v>224</v>
      </c>
      <c r="B7" t="str">
        <f>VLOOKUP(Tb_prod[[#This Row],[Región]],AUX_REGION[],2,0)</f>
        <v>Minera Staff</v>
      </c>
      <c r="C7" t="s">
        <v>12</v>
      </c>
      <c r="D7" t="s">
        <v>13</v>
      </c>
      <c r="E7" t="s">
        <v>14</v>
      </c>
      <c r="F7" t="s">
        <v>15</v>
      </c>
      <c r="G7" t="s">
        <v>20</v>
      </c>
      <c r="H7" s="23">
        <v>6612.69</v>
      </c>
      <c r="I7" s="23">
        <v>2049.85</v>
      </c>
      <c r="J7" s="23">
        <v>21275.79</v>
      </c>
      <c r="K7" s="23">
        <v>1380.38</v>
      </c>
      <c r="L7" s="10">
        <v>25034395680</v>
      </c>
      <c r="M7" s="9">
        <v>23273956170</v>
      </c>
      <c r="N7" s="12">
        <f xml:space="preserve"> Tb_prod[[#This Row],[Costo_Mantenimiento_CLP]] / Tb_prod[[#This Row],[Dias_Operación_Mes]]</f>
        <v>894085560</v>
      </c>
      <c r="O7" s="11">
        <f>Tb_prod[[#This Row],[Costo_Operativo_CLP]] / Tb_prod[[#This Row],[Producción_Toneladas]]</f>
        <v>3519589.7841876759</v>
      </c>
      <c r="P7">
        <v>118</v>
      </c>
      <c r="Q7">
        <v>28</v>
      </c>
      <c r="R7" s="6">
        <v>45978</v>
      </c>
      <c r="S7" t="str">
        <f t="shared" si="0"/>
        <v>lunes</v>
      </c>
      <c r="T7" t="str">
        <f t="shared" si="1"/>
        <v>noviembre</v>
      </c>
      <c r="U7">
        <v>95.13</v>
      </c>
      <c r="V7">
        <f xml:space="preserve"> Tb_prod[[#This Row],[Emisiones_CO2_ton]] / Tb_prod[[#This Row],[Cantidad_Empleados]]</f>
        <v>11.698135593220339</v>
      </c>
      <c r="W7" t="str">
        <f>IF(Tb_prod[[#This Row],[Recuperación_Metal_Porcentaje]]&gt;90,"Alta",IF(Tb_prod[[#This Row],[Recuperación_Metal_Porcentaje]]&gt;75,"Media","Baja"))</f>
        <v>Alta</v>
      </c>
      <c r="X7" t="str">
        <f>IF(AND(Tb_prod[[#This Row],[Consumo_Energia_MWh]]&lt;=2000,Tb_prod[[#This Row],[Riesgo_Ambiental]]="Alto"),"Crítica","Normal")</f>
        <v>Normal</v>
      </c>
    </row>
    <row r="8" spans="1:27">
      <c r="A8">
        <v>90</v>
      </c>
      <c r="B8" t="str">
        <f>VLOOKUP(Tb_prod[[#This Row],[Región]],AUX_REGION[],2,0)</f>
        <v>Minera del Norte</v>
      </c>
      <c r="C8" t="s">
        <v>21</v>
      </c>
      <c r="D8" t="s">
        <v>18</v>
      </c>
      <c r="E8" t="s">
        <v>14</v>
      </c>
      <c r="F8" t="s">
        <v>15</v>
      </c>
      <c r="G8" t="s">
        <v>16</v>
      </c>
      <c r="H8" s="23">
        <v>5895.96</v>
      </c>
      <c r="I8" s="23">
        <v>2438.0700000000002</v>
      </c>
      <c r="J8" s="23">
        <v>24132.91</v>
      </c>
      <c r="K8" s="23">
        <v>873.25</v>
      </c>
      <c r="L8" s="10">
        <v>10073821590</v>
      </c>
      <c r="M8" s="9">
        <v>45018791730</v>
      </c>
      <c r="N8" s="12">
        <f xml:space="preserve"> Tb_prod[[#This Row],[Costo_Mantenimiento_CLP]] / Tb_prod[[#This Row],[Dias_Operación_Mes]]</f>
        <v>503691079.5</v>
      </c>
      <c r="O8" s="11">
        <f>Tb_prod[[#This Row],[Costo_Operativo_CLP]] / Tb_prod[[#This Row],[Producción_Toneladas]]</f>
        <v>7635532.0812895605</v>
      </c>
      <c r="P8">
        <v>95</v>
      </c>
      <c r="Q8">
        <v>20</v>
      </c>
      <c r="R8" s="6">
        <v>45706</v>
      </c>
      <c r="S8" t="str">
        <f t="shared" si="0"/>
        <v>martes</v>
      </c>
      <c r="T8" t="str">
        <f t="shared" si="1"/>
        <v>febrero</v>
      </c>
      <c r="U8">
        <v>96.44</v>
      </c>
      <c r="V8">
        <f xml:space="preserve"> Tb_prod[[#This Row],[Emisiones_CO2_ton]] / Tb_prod[[#This Row],[Cantidad_Empleados]]</f>
        <v>9.1921052631578952</v>
      </c>
      <c r="W8" t="str">
        <f>IF(Tb_prod[[#This Row],[Recuperación_Metal_Porcentaje]]&gt;90,"Alta",IF(Tb_prod[[#This Row],[Recuperación_Metal_Porcentaje]]&gt;75,"Media","Baja"))</f>
        <v>Alta</v>
      </c>
      <c r="X8" t="str">
        <f>IF(AND(Tb_prod[[#This Row],[Consumo_Energia_MWh]]&lt;=2000,Tb_prod[[#This Row],[Riesgo_Ambiental]]="Alto"),"Crítica","Normal")</f>
        <v>Normal</v>
      </c>
      <c r="AA8" s="24"/>
    </row>
    <row r="9" spans="1:27">
      <c r="A9">
        <v>176</v>
      </c>
      <c r="B9" t="str">
        <f>VLOOKUP(Tb_prod[[#This Row],[Región]],AUX_REGION[],2,0)</f>
        <v>Minera Romero</v>
      </c>
      <c r="C9" t="s">
        <v>25</v>
      </c>
      <c r="D9" t="s">
        <v>23</v>
      </c>
      <c r="E9" t="s">
        <v>14</v>
      </c>
      <c r="F9" t="s">
        <v>26</v>
      </c>
      <c r="G9" t="s">
        <v>16</v>
      </c>
      <c r="H9" s="23">
        <v>5364.96</v>
      </c>
      <c r="I9" s="23">
        <v>1900.17</v>
      </c>
      <c r="J9" s="23">
        <v>24801.52</v>
      </c>
      <c r="K9" s="23">
        <v>661.46</v>
      </c>
      <c r="L9" s="10">
        <v>1597691160</v>
      </c>
      <c r="M9" s="9">
        <v>143782542900</v>
      </c>
      <c r="N9" s="12">
        <f xml:space="preserve"> Tb_prod[[#This Row],[Costo_Mantenimiento_CLP]] / Tb_prod[[#This Row],[Dias_Operación_Mes]]</f>
        <v>66570465</v>
      </c>
      <c r="O9" s="11">
        <f>Tb_prod[[#This Row],[Costo_Operativo_CLP]] / Tb_prod[[#This Row],[Producción_Toneladas]]</f>
        <v>26800301.008768007</v>
      </c>
      <c r="P9">
        <v>126</v>
      </c>
      <c r="Q9">
        <v>24</v>
      </c>
      <c r="R9" s="6">
        <v>45477</v>
      </c>
      <c r="S9" t="str">
        <f t="shared" si="0"/>
        <v>jueves</v>
      </c>
      <c r="T9" t="str">
        <f t="shared" si="1"/>
        <v>julio</v>
      </c>
      <c r="U9">
        <v>79.900000000000006</v>
      </c>
      <c r="V9">
        <f xml:space="preserve"> Tb_prod[[#This Row],[Emisiones_CO2_ton]] / Tb_prod[[#This Row],[Cantidad_Empleados]]</f>
        <v>5.2496825396825404</v>
      </c>
      <c r="W9" t="str">
        <f>IF(Tb_prod[[#This Row],[Recuperación_Metal_Porcentaje]]&gt;90,"Alta",IF(Tb_prod[[#This Row],[Recuperación_Metal_Porcentaje]]&gt;75,"Media","Baja"))</f>
        <v>Media</v>
      </c>
      <c r="X9" t="str">
        <f>IF(AND(Tb_prod[[#This Row],[Consumo_Energia_MWh]]&lt;=2000,Tb_prod[[#This Row],[Riesgo_Ambiental]]="Alto"),"Crítica","Normal")</f>
        <v>Normal</v>
      </c>
    </row>
    <row r="10" spans="1:27">
      <c r="A10">
        <v>370</v>
      </c>
      <c r="B10" t="str">
        <f>VLOOKUP(Tb_prod[[#This Row],[Región]],AUX_REGION[],2,0)</f>
        <v>Minera del Norte</v>
      </c>
      <c r="C10" t="s">
        <v>17</v>
      </c>
      <c r="D10" t="s">
        <v>18</v>
      </c>
      <c r="E10" t="s">
        <v>19</v>
      </c>
      <c r="F10" t="s">
        <v>26</v>
      </c>
      <c r="G10" t="s">
        <v>16</v>
      </c>
      <c r="H10" s="23">
        <v>4509.9399999999996</v>
      </c>
      <c r="I10" s="23">
        <v>1722.1</v>
      </c>
      <c r="J10" s="23">
        <v>25762.240000000002</v>
      </c>
      <c r="K10" s="23">
        <v>1348.66</v>
      </c>
      <c r="L10" s="10">
        <v>2739455820</v>
      </c>
      <c r="M10" s="9">
        <v>143498022930</v>
      </c>
      <c r="N10" s="12">
        <f xml:space="preserve"> Tb_prod[[#This Row],[Costo_Mantenimiento_CLP]] / Tb_prod[[#This Row],[Dias_Operación_Mes]]</f>
        <v>94463993.793103442</v>
      </c>
      <c r="O10" s="11">
        <f>Tb_prod[[#This Row],[Costo_Operativo_CLP]] / Tb_prod[[#This Row],[Producción_Toneladas]]</f>
        <v>31818166.745012131</v>
      </c>
      <c r="P10">
        <v>226</v>
      </c>
      <c r="Q10">
        <v>29</v>
      </c>
      <c r="R10" s="6">
        <v>45718</v>
      </c>
      <c r="S10" t="str">
        <f t="shared" si="0"/>
        <v>domingo</v>
      </c>
      <c r="T10" t="str">
        <f t="shared" si="1"/>
        <v>marzo</v>
      </c>
      <c r="U10">
        <v>70.459999999999994</v>
      </c>
      <c r="V10">
        <f xml:space="preserve"> Tb_prod[[#This Row],[Emisiones_CO2_ton]] / Tb_prod[[#This Row],[Cantidad_Empleados]]</f>
        <v>5.9675221238938061</v>
      </c>
      <c r="W10" t="str">
        <f>IF(Tb_prod[[#This Row],[Recuperación_Metal_Porcentaje]]&gt;90,"Alta",IF(Tb_prod[[#This Row],[Recuperación_Metal_Porcentaje]]&gt;75,"Media","Baja"))</f>
        <v>Baja</v>
      </c>
      <c r="X10" t="str">
        <f>IF(AND(Tb_prod[[#This Row],[Consumo_Energia_MWh]]&lt;=2000,Tb_prod[[#This Row],[Riesgo_Ambiental]]="Alto"),"Crítica","Normal")</f>
        <v>Normal</v>
      </c>
    </row>
    <row r="11" spans="1:27">
      <c r="A11">
        <v>141</v>
      </c>
      <c r="B11" t="str">
        <f>VLOOKUP(Tb_prod[[#This Row],[Región]],AUX_REGION[],2,0)</f>
        <v>Minera del Norte</v>
      </c>
      <c r="C11" t="s">
        <v>27</v>
      </c>
      <c r="D11" t="s">
        <v>18</v>
      </c>
      <c r="E11" t="s">
        <v>19</v>
      </c>
      <c r="F11" t="s">
        <v>15</v>
      </c>
      <c r="G11" t="s">
        <v>22</v>
      </c>
      <c r="H11" s="23">
        <v>4575.34</v>
      </c>
      <c r="I11" s="23">
        <v>539.66</v>
      </c>
      <c r="J11" s="23">
        <v>25898.2</v>
      </c>
      <c r="K11" s="23">
        <v>503.48</v>
      </c>
      <c r="L11" s="10">
        <v>113814511125856</v>
      </c>
      <c r="M11" s="9">
        <v>1705424392860</v>
      </c>
      <c r="N11" s="12">
        <f xml:space="preserve"> Tb_prod[[#This Row],[Costo_Mantenimiento_CLP]] / Tb_prod[[#This Row],[Dias_Operación_Mes]]</f>
        <v>4552580445034.2402</v>
      </c>
      <c r="O11" s="11">
        <f>Tb_prod[[#This Row],[Costo_Operativo_CLP]] / Tb_prod[[#This Row],[Producción_Toneladas]]</f>
        <v>372742658.00137258</v>
      </c>
      <c r="P11">
        <v>197</v>
      </c>
      <c r="Q11">
        <v>25</v>
      </c>
      <c r="R11" s="6">
        <v>45490</v>
      </c>
      <c r="S11" t="str">
        <f t="shared" si="0"/>
        <v>miércoles</v>
      </c>
      <c r="T11" t="str">
        <f t="shared" si="1"/>
        <v>julio</v>
      </c>
      <c r="U11">
        <v>81.8</v>
      </c>
      <c r="V11">
        <f xml:space="preserve"> Tb_prod[[#This Row],[Emisiones_CO2_ton]] / Tb_prod[[#This Row],[Cantidad_Empleados]]</f>
        <v>2.5557360406091369</v>
      </c>
      <c r="W11" t="str">
        <f>IF(Tb_prod[[#This Row],[Recuperación_Metal_Porcentaje]]&gt;90,"Alta",IF(Tb_prod[[#This Row],[Recuperación_Metal_Porcentaje]]&gt;75,"Media","Baja"))</f>
        <v>Media</v>
      </c>
      <c r="X11" t="str">
        <f>IF(AND(Tb_prod[[#This Row],[Consumo_Energia_MWh]]&lt;=2000,Tb_prod[[#This Row],[Riesgo_Ambiental]]="Alto"),"Crítica","Normal")</f>
        <v>Normal</v>
      </c>
    </row>
    <row r="12" spans="1:27">
      <c r="A12">
        <v>113</v>
      </c>
      <c r="B12" t="str">
        <f>VLOOKUP(Tb_prod[[#This Row],[Región]],AUX_REGION[],2,0)</f>
        <v>Minera del Norte</v>
      </c>
      <c r="C12" t="s">
        <v>17</v>
      </c>
      <c r="D12" t="s">
        <v>18</v>
      </c>
      <c r="E12" t="s">
        <v>14</v>
      </c>
      <c r="F12" t="s">
        <v>26</v>
      </c>
      <c r="G12" t="s">
        <v>22</v>
      </c>
      <c r="H12" s="23">
        <v>3551.57</v>
      </c>
      <c r="I12" s="23">
        <v>954.31</v>
      </c>
      <c r="J12" s="23">
        <v>26238.19</v>
      </c>
      <c r="K12" s="23">
        <v>1121.47</v>
      </c>
      <c r="L12" s="10">
        <v>15599697840</v>
      </c>
      <c r="M12" s="9">
        <v>124763771430</v>
      </c>
      <c r="N12" s="12">
        <f xml:space="preserve"> Tb_prod[[#This Row],[Costo_Mantenimiento_CLP]] / Tb_prod[[#This Row],[Dias_Operación_Mes]]</f>
        <v>623987913.60000002</v>
      </c>
      <c r="O12" s="11">
        <f>Tb_prod[[#This Row],[Costo_Operativo_CLP]] / Tb_prod[[#This Row],[Producción_Toneladas]]</f>
        <v>35129188.33924152</v>
      </c>
      <c r="P12">
        <v>106</v>
      </c>
      <c r="Q12">
        <v>25</v>
      </c>
      <c r="R12" s="6">
        <v>46013</v>
      </c>
      <c r="S12" t="str">
        <f t="shared" si="0"/>
        <v>lunes</v>
      </c>
      <c r="T12" t="str">
        <f t="shared" si="1"/>
        <v>diciembre</v>
      </c>
      <c r="U12">
        <v>96.97</v>
      </c>
      <c r="V12">
        <f xml:space="preserve"> Tb_prod[[#This Row],[Emisiones_CO2_ton]] / Tb_prod[[#This Row],[Cantidad_Empleados]]</f>
        <v>10.579905660377358</v>
      </c>
      <c r="W12" t="str">
        <f>IF(Tb_prod[[#This Row],[Recuperación_Metal_Porcentaje]]&gt;90,"Alta",IF(Tb_prod[[#This Row],[Recuperación_Metal_Porcentaje]]&gt;75,"Media","Baja"))</f>
        <v>Alta</v>
      </c>
      <c r="X12" t="str">
        <f>IF(AND(Tb_prod[[#This Row],[Consumo_Energia_MWh]]&lt;=2000,Tb_prod[[#This Row],[Riesgo_Ambiental]]="Alto"),"Crítica","Normal")</f>
        <v>Normal</v>
      </c>
    </row>
    <row r="13" spans="1:27">
      <c r="A13">
        <v>270</v>
      </c>
      <c r="B13" t="str">
        <f>VLOOKUP(Tb_prod[[#This Row],[Región]],AUX_REGION[],2,0)</f>
        <v>Minera Romero</v>
      </c>
      <c r="C13" t="s">
        <v>12</v>
      </c>
      <c r="D13" t="s">
        <v>23</v>
      </c>
      <c r="E13" t="s">
        <v>19</v>
      </c>
      <c r="F13" t="s">
        <v>24</v>
      </c>
      <c r="G13" t="s">
        <v>16</v>
      </c>
      <c r="H13" s="23">
        <v>6152.19</v>
      </c>
      <c r="I13" s="23">
        <v>1350.98</v>
      </c>
      <c r="J13" s="23">
        <v>26420.5</v>
      </c>
      <c r="K13" s="23">
        <v>693.88</v>
      </c>
      <c r="L13" s="10">
        <v>32059995390</v>
      </c>
      <c r="M13" s="9">
        <v>89633799990</v>
      </c>
      <c r="N13" s="12">
        <f xml:space="preserve"> Tb_prod[[#This Row],[Costo_Mantenimiento_CLP]] / Tb_prod[[#This Row],[Dias_Operación_Mes]]</f>
        <v>1282399815.5999999</v>
      </c>
      <c r="O13" s="11">
        <f>Tb_prod[[#This Row],[Costo_Operativo_CLP]] / Tb_prod[[#This Row],[Producción_Toneladas]]</f>
        <v>14569413.491780976</v>
      </c>
      <c r="P13">
        <v>216</v>
      </c>
      <c r="Q13">
        <v>25</v>
      </c>
      <c r="R13" s="6">
        <v>45938</v>
      </c>
      <c r="S13" t="str">
        <f t="shared" si="0"/>
        <v>miércoles</v>
      </c>
      <c r="T13" t="str">
        <f t="shared" si="1"/>
        <v>octubre</v>
      </c>
      <c r="U13">
        <v>97.1</v>
      </c>
      <c r="V13">
        <f xml:space="preserve"> Tb_prod[[#This Row],[Emisiones_CO2_ton]] / Tb_prod[[#This Row],[Cantidad_Empleados]]</f>
        <v>3.2124074074074076</v>
      </c>
      <c r="W13" t="str">
        <f>IF(Tb_prod[[#This Row],[Recuperación_Metal_Porcentaje]]&gt;90,"Alta",IF(Tb_prod[[#This Row],[Recuperación_Metal_Porcentaje]]&gt;75,"Media","Baja"))</f>
        <v>Alta</v>
      </c>
      <c r="X13" t="str">
        <f>IF(AND(Tb_prod[[#This Row],[Consumo_Energia_MWh]]&lt;=2000,Tb_prod[[#This Row],[Riesgo_Ambiental]]="Alto"),"Crítica","Normal")</f>
        <v>Normal</v>
      </c>
    </row>
    <row r="14" spans="1:27">
      <c r="A14">
        <v>86</v>
      </c>
      <c r="B14" t="str">
        <f>VLOOKUP(Tb_prod[[#This Row],[Región]],AUX_REGION[],2,0)</f>
        <v>Minera del Norte</v>
      </c>
      <c r="C14" t="s">
        <v>27</v>
      </c>
      <c r="D14" t="s">
        <v>18</v>
      </c>
      <c r="E14" t="s">
        <v>19</v>
      </c>
      <c r="F14" t="s">
        <v>15</v>
      </c>
      <c r="G14" t="s">
        <v>20</v>
      </c>
      <c r="H14" s="23">
        <v>5311.42</v>
      </c>
      <c r="I14" s="23">
        <v>1579</v>
      </c>
      <c r="J14" s="23">
        <v>26450.720000000001</v>
      </c>
      <c r="K14" s="23">
        <v>945.04</v>
      </c>
      <c r="L14" s="10">
        <v>35556757830</v>
      </c>
      <c r="M14" s="9">
        <v>90445586490</v>
      </c>
      <c r="N14" s="12">
        <f xml:space="preserve"> Tb_prod[[#This Row],[Costo_Mantenimiento_CLP]] / Tb_prod[[#This Row],[Dias_Operación_Mes]]</f>
        <v>1422270313.2</v>
      </c>
      <c r="O14" s="11">
        <f>Tb_prod[[#This Row],[Costo_Operativo_CLP]] / Tb_prod[[#This Row],[Producción_Toneladas]]</f>
        <v>17028513.371188872</v>
      </c>
      <c r="P14">
        <v>80</v>
      </c>
      <c r="Q14">
        <v>25</v>
      </c>
      <c r="R14" s="6">
        <v>44967</v>
      </c>
      <c r="S14" t="str">
        <f t="shared" si="0"/>
        <v>viernes</v>
      </c>
      <c r="T14" t="str">
        <f t="shared" si="1"/>
        <v>febrero</v>
      </c>
      <c r="U14">
        <v>85.7</v>
      </c>
      <c r="V14">
        <f xml:space="preserve"> Tb_prod[[#This Row],[Emisiones_CO2_ton]] / Tb_prod[[#This Row],[Cantidad_Empleados]]</f>
        <v>11.812999999999999</v>
      </c>
      <c r="W14" t="str">
        <f>IF(Tb_prod[[#This Row],[Recuperación_Metal_Porcentaje]]&gt;90,"Alta",IF(Tb_prod[[#This Row],[Recuperación_Metal_Porcentaje]]&gt;75,"Media","Baja"))</f>
        <v>Media</v>
      </c>
      <c r="X14" t="str">
        <f>IF(AND(Tb_prod[[#This Row],[Consumo_Energia_MWh]]&lt;=2000,Tb_prod[[#This Row],[Riesgo_Ambiental]]="Alto"),"Crítica","Normal")</f>
        <v>Crítica</v>
      </c>
    </row>
    <row r="15" spans="1:27">
      <c r="A15">
        <v>284</v>
      </c>
      <c r="B15" t="str">
        <f>VLOOKUP(Tb_prod[[#This Row],[Región]],AUX_REGION[],2,0)</f>
        <v>Minera Staff</v>
      </c>
      <c r="C15" t="s">
        <v>12</v>
      </c>
      <c r="D15" t="s">
        <v>13</v>
      </c>
      <c r="E15" t="s">
        <v>19</v>
      </c>
      <c r="F15" t="s">
        <v>26</v>
      </c>
      <c r="G15" t="s">
        <v>16</v>
      </c>
      <c r="H15" s="23">
        <v>4809.78</v>
      </c>
      <c r="I15" s="23">
        <v>2317.25</v>
      </c>
      <c r="J15" s="23">
        <v>26758.46</v>
      </c>
      <c r="K15" s="23">
        <v>1194.43</v>
      </c>
      <c r="L15" s="10">
        <v>40980810330</v>
      </c>
      <c r="M15" s="9">
        <v>121199337720</v>
      </c>
      <c r="N15" s="12">
        <f xml:space="preserve"> Tb_prod[[#This Row],[Costo_Mantenimiento_CLP]] / Tb_prod[[#This Row],[Dias_Operación_Mes]]</f>
        <v>1576185012.6923077</v>
      </c>
      <c r="O15" s="11">
        <f>Tb_prod[[#This Row],[Costo_Operativo_CLP]] / Tb_prod[[#This Row],[Producción_Toneladas]]</f>
        <v>25198520.040417649</v>
      </c>
      <c r="P15">
        <v>62</v>
      </c>
      <c r="Q15">
        <v>26</v>
      </c>
      <c r="R15" s="6">
        <v>45326</v>
      </c>
      <c r="S15" t="str">
        <f t="shared" si="0"/>
        <v>domingo</v>
      </c>
      <c r="T15" t="str">
        <f t="shared" si="1"/>
        <v>febrero</v>
      </c>
      <c r="U15">
        <v>90</v>
      </c>
      <c r="V15">
        <f xml:space="preserve"> Tb_prod[[#This Row],[Emisiones_CO2_ton]] / Tb_prod[[#This Row],[Cantidad_Empleados]]</f>
        <v>19.265000000000001</v>
      </c>
      <c r="W15" t="str">
        <f>IF(Tb_prod[[#This Row],[Recuperación_Metal_Porcentaje]]&gt;90,"Alta",IF(Tb_prod[[#This Row],[Recuperación_Metal_Porcentaje]]&gt;75,"Media","Baja"))</f>
        <v>Media</v>
      </c>
      <c r="X15" t="str">
        <f>IF(AND(Tb_prod[[#This Row],[Consumo_Energia_MWh]]&lt;=2000,Tb_prod[[#This Row],[Riesgo_Ambiental]]="Alto"),"Crítica","Normal")</f>
        <v>Normal</v>
      </c>
    </row>
    <row r="16" spans="1:27">
      <c r="A16">
        <v>301</v>
      </c>
      <c r="B16" t="str">
        <f>VLOOKUP(Tb_prod[[#This Row],[Región]],AUX_REGION[],2,0)</f>
        <v>Minera Staff</v>
      </c>
      <c r="C16" t="s">
        <v>17</v>
      </c>
      <c r="D16" t="s">
        <v>13</v>
      </c>
      <c r="E16" t="s">
        <v>19</v>
      </c>
      <c r="F16" t="s">
        <v>26</v>
      </c>
      <c r="G16" t="s">
        <v>20</v>
      </c>
      <c r="H16" s="23">
        <v>3012.39</v>
      </c>
      <c r="I16" s="23">
        <v>1711.88</v>
      </c>
      <c r="J16" s="23">
        <v>27242.93</v>
      </c>
      <c r="K16" s="23">
        <v>1125.6600000000001</v>
      </c>
      <c r="L16" s="10">
        <v>23272898310</v>
      </c>
      <c r="M16" s="9">
        <v>105479948430</v>
      </c>
      <c r="N16" s="12">
        <f xml:space="preserve"> Tb_prod[[#This Row],[Costo_Mantenimiento_CLP]] / Tb_prod[[#This Row],[Dias_Operación_Mes]]</f>
        <v>1011865143.9130435</v>
      </c>
      <c r="O16" s="11">
        <f>Tb_prod[[#This Row],[Costo_Operativo_CLP]] / Tb_prod[[#This Row],[Producción_Toneladas]]</f>
        <v>35015369.334647909</v>
      </c>
      <c r="P16">
        <v>165</v>
      </c>
      <c r="Q16">
        <v>23</v>
      </c>
      <c r="R16" s="6">
        <v>45370</v>
      </c>
      <c r="S16" t="str">
        <f t="shared" si="0"/>
        <v>martes</v>
      </c>
      <c r="T16" t="str">
        <f t="shared" si="1"/>
        <v>marzo</v>
      </c>
      <c r="U16">
        <v>90.96</v>
      </c>
      <c r="V16">
        <f xml:space="preserve"> Tb_prod[[#This Row],[Emisiones_CO2_ton]] / Tb_prod[[#This Row],[Cantidad_Empleados]]</f>
        <v>6.8221818181818188</v>
      </c>
      <c r="W16" t="str">
        <f>IF(Tb_prod[[#This Row],[Recuperación_Metal_Porcentaje]]&gt;90,"Alta",IF(Tb_prod[[#This Row],[Recuperación_Metal_Porcentaje]]&gt;75,"Media","Baja"))</f>
        <v>Alta</v>
      </c>
      <c r="X16" t="str">
        <f>IF(AND(Tb_prod[[#This Row],[Consumo_Energia_MWh]]&lt;=2000,Tb_prod[[#This Row],[Riesgo_Ambiental]]="Alto"),"Crítica","Normal")</f>
        <v>Crítica</v>
      </c>
    </row>
    <row r="17" spans="1:24">
      <c r="A17">
        <v>467</v>
      </c>
      <c r="B17" t="str">
        <f>VLOOKUP(Tb_prod[[#This Row],[Región]],AUX_REGION[],2,0)</f>
        <v>Minera del Norte</v>
      </c>
      <c r="C17" t="s">
        <v>25</v>
      </c>
      <c r="D17" t="s">
        <v>18</v>
      </c>
      <c r="E17" t="s">
        <v>19</v>
      </c>
      <c r="F17" t="s">
        <v>24</v>
      </c>
      <c r="G17" t="s">
        <v>22</v>
      </c>
      <c r="H17" s="23">
        <v>6000.47</v>
      </c>
      <c r="I17" s="23">
        <v>3225.05</v>
      </c>
      <c r="J17" s="23">
        <v>27803.55</v>
      </c>
      <c r="K17" s="23">
        <v>1060.6199999999999</v>
      </c>
      <c r="L17" s="10">
        <v>3697056000850</v>
      </c>
      <c r="M17" s="9">
        <v>45075724290</v>
      </c>
      <c r="N17" s="12">
        <f xml:space="preserve"> Tb_prod[[#This Row],[Costo_Mantenimiento_CLP]] / Tb_prod[[#This Row],[Dias_Operación_Mes]]</f>
        <v>176050285754.7619</v>
      </c>
      <c r="O17" s="11">
        <f>Tb_prod[[#This Row],[Costo_Operativo_CLP]] / Tb_prod[[#This Row],[Producción_Toneladas]]</f>
        <v>7512032.2724719895</v>
      </c>
      <c r="P17">
        <v>162</v>
      </c>
      <c r="Q17">
        <v>21</v>
      </c>
      <c r="R17" s="6">
        <v>45099</v>
      </c>
      <c r="S17" t="str">
        <f t="shared" si="0"/>
        <v>jueves</v>
      </c>
      <c r="T17" t="str">
        <f t="shared" si="1"/>
        <v>junio</v>
      </c>
      <c r="U17">
        <v>98.73</v>
      </c>
      <c r="V17">
        <f xml:space="preserve"> Tb_prod[[#This Row],[Emisiones_CO2_ton]] / Tb_prod[[#This Row],[Cantidad_Empleados]]</f>
        <v>6.5470370370370361</v>
      </c>
      <c r="W17" t="str">
        <f>IF(Tb_prod[[#This Row],[Recuperación_Metal_Porcentaje]]&gt;90,"Alta",IF(Tb_prod[[#This Row],[Recuperación_Metal_Porcentaje]]&gt;75,"Media","Baja"))</f>
        <v>Alta</v>
      </c>
      <c r="X17" t="str">
        <f>IF(AND(Tb_prod[[#This Row],[Consumo_Energia_MWh]]&lt;=2000,Tb_prod[[#This Row],[Riesgo_Ambiental]]="Alto"),"Crítica","Normal")</f>
        <v>Normal</v>
      </c>
    </row>
    <row r="18" spans="1:24">
      <c r="A18">
        <v>450</v>
      </c>
      <c r="B18" t="str">
        <f>VLOOKUP(Tb_prod[[#This Row],[Región]],AUX_REGION[],2,0)</f>
        <v>Minera Staff</v>
      </c>
      <c r="C18" t="s">
        <v>25</v>
      </c>
      <c r="D18" t="s">
        <v>13</v>
      </c>
      <c r="E18" t="s">
        <v>14</v>
      </c>
      <c r="F18" t="s">
        <v>26</v>
      </c>
      <c r="G18" t="s">
        <v>22</v>
      </c>
      <c r="H18" s="23">
        <v>6338.4</v>
      </c>
      <c r="I18" s="23">
        <v>2207.71</v>
      </c>
      <c r="J18" s="23">
        <v>27937.599999999999</v>
      </c>
      <c r="K18" s="23">
        <v>678.41</v>
      </c>
      <c r="L18" s="10">
        <v>9392504760</v>
      </c>
      <c r="M18" s="9">
        <v>140733496890</v>
      </c>
      <c r="N18" s="12">
        <f xml:space="preserve"> Tb_prod[[#This Row],[Costo_Mantenimiento_CLP]] / Tb_prod[[#This Row],[Dias_Operación_Mes]]</f>
        <v>426932034.54545456</v>
      </c>
      <c r="O18" s="11">
        <f>Tb_prod[[#This Row],[Costo_Operativo_CLP]] / Tb_prod[[#This Row],[Producción_Toneladas]]</f>
        <v>22203315.803672854</v>
      </c>
      <c r="P18">
        <v>201</v>
      </c>
      <c r="Q18">
        <v>22</v>
      </c>
      <c r="R18" s="6">
        <v>45582</v>
      </c>
      <c r="S18" t="str">
        <f t="shared" si="0"/>
        <v>jueves</v>
      </c>
      <c r="T18" t="str">
        <f t="shared" si="1"/>
        <v>octubre</v>
      </c>
      <c r="U18">
        <v>76.41</v>
      </c>
      <c r="V18">
        <f xml:space="preserve"> Tb_prod[[#This Row],[Emisiones_CO2_ton]] / Tb_prod[[#This Row],[Cantidad_Empleados]]</f>
        <v>3.3751741293532338</v>
      </c>
      <c r="W18" t="str">
        <f>IF(Tb_prod[[#This Row],[Recuperación_Metal_Porcentaje]]&gt;90,"Alta",IF(Tb_prod[[#This Row],[Recuperación_Metal_Porcentaje]]&gt;75,"Media","Baja"))</f>
        <v>Media</v>
      </c>
      <c r="X18" t="str">
        <f>IF(AND(Tb_prod[[#This Row],[Consumo_Energia_MWh]]&lt;=2000,Tb_prod[[#This Row],[Riesgo_Ambiental]]="Alto"),"Crítica","Normal")</f>
        <v>Normal</v>
      </c>
    </row>
    <row r="19" spans="1:24">
      <c r="A19">
        <v>286</v>
      </c>
      <c r="B19" t="str">
        <f>VLOOKUP(Tb_prod[[#This Row],[Región]],AUX_REGION[],2,0)</f>
        <v>Minera Romero</v>
      </c>
      <c r="C19" t="s">
        <v>17</v>
      </c>
      <c r="D19" t="s">
        <v>23</v>
      </c>
      <c r="E19" t="s">
        <v>19</v>
      </c>
      <c r="F19" t="s">
        <v>15</v>
      </c>
      <c r="G19" t="s">
        <v>22</v>
      </c>
      <c r="H19" s="23">
        <v>3924.07</v>
      </c>
      <c r="I19" s="23">
        <v>665.83</v>
      </c>
      <c r="J19" s="23">
        <v>27997.89</v>
      </c>
      <c r="K19" s="23">
        <v>412.47</v>
      </c>
      <c r="L19" s="10">
        <v>21841096590</v>
      </c>
      <c r="M19" s="9">
        <v>145387211040</v>
      </c>
      <c r="N19" s="12">
        <f xml:space="preserve"> Tb_prod[[#This Row],[Costo_Mantenimiento_CLP]] / Tb_prod[[#This Row],[Dias_Operación_Mes]]</f>
        <v>728036553</v>
      </c>
      <c r="O19" s="11">
        <f>Tb_prod[[#This Row],[Costo_Operativo_CLP]] / Tb_prod[[#This Row],[Producción_Toneladas]]</f>
        <v>37050106.404829681</v>
      </c>
      <c r="P19">
        <v>291</v>
      </c>
      <c r="Q19">
        <v>30</v>
      </c>
      <c r="R19" s="6">
        <v>45898</v>
      </c>
      <c r="S19" t="str">
        <f t="shared" si="0"/>
        <v>viernes</v>
      </c>
      <c r="T19" t="str">
        <f t="shared" si="1"/>
        <v>agosto</v>
      </c>
      <c r="U19">
        <v>78.42</v>
      </c>
      <c r="V19">
        <f xml:space="preserve"> Tb_prod[[#This Row],[Emisiones_CO2_ton]] / Tb_prod[[#This Row],[Cantidad_Empleados]]</f>
        <v>1.4174226804123713</v>
      </c>
      <c r="W19" t="str">
        <f>IF(Tb_prod[[#This Row],[Recuperación_Metal_Porcentaje]]&gt;90,"Alta",IF(Tb_prod[[#This Row],[Recuperación_Metal_Porcentaje]]&gt;75,"Media","Baja"))</f>
        <v>Media</v>
      </c>
      <c r="X19" t="str">
        <f>IF(AND(Tb_prod[[#This Row],[Consumo_Energia_MWh]]&lt;=2000,Tb_prod[[#This Row],[Riesgo_Ambiental]]="Alto"),"Crítica","Normal")</f>
        <v>Normal</v>
      </c>
    </row>
    <row r="20" spans="1:24">
      <c r="A20">
        <v>247</v>
      </c>
      <c r="B20" t="str">
        <f>VLOOKUP(Tb_prod[[#This Row],[Región]],AUX_REGION[],2,0)</f>
        <v>Minera Staff</v>
      </c>
      <c r="C20" t="s">
        <v>12</v>
      </c>
      <c r="D20" t="s">
        <v>13</v>
      </c>
      <c r="E20" t="s">
        <v>19</v>
      </c>
      <c r="F20" t="s">
        <v>24</v>
      </c>
      <c r="G20" t="s">
        <v>22</v>
      </c>
      <c r="H20" s="23">
        <v>4552.54</v>
      </c>
      <c r="I20" s="23">
        <v>2440.56</v>
      </c>
      <c r="J20" s="23">
        <v>28158.23</v>
      </c>
      <c r="K20" s="23">
        <v>290.81</v>
      </c>
      <c r="L20" s="10">
        <v>22168388520</v>
      </c>
      <c r="M20" s="9">
        <v>178431114510</v>
      </c>
      <c r="N20" s="12">
        <f xml:space="preserve"> Tb_prod[[#This Row],[Costo_Mantenimiento_CLP]] / Tb_prod[[#This Row],[Dias_Operación_Mes]]</f>
        <v>1007654023.6363636</v>
      </c>
      <c r="O20" s="11">
        <f>Tb_prod[[#This Row],[Costo_Operativo_CLP]] / Tb_prod[[#This Row],[Producción_Toneladas]]</f>
        <v>39193749.97473938</v>
      </c>
      <c r="P20">
        <v>130</v>
      </c>
      <c r="Q20">
        <v>22</v>
      </c>
      <c r="R20" s="6">
        <v>45636</v>
      </c>
      <c r="S20" t="str">
        <f t="shared" si="0"/>
        <v>martes</v>
      </c>
      <c r="T20" t="str">
        <f t="shared" si="1"/>
        <v>diciembre</v>
      </c>
      <c r="U20">
        <v>81.17</v>
      </c>
      <c r="V20">
        <f xml:space="preserve"> Tb_prod[[#This Row],[Emisiones_CO2_ton]] / Tb_prod[[#This Row],[Cantidad_Empleados]]</f>
        <v>2.2370000000000001</v>
      </c>
      <c r="W20" t="str">
        <f>IF(Tb_prod[[#This Row],[Recuperación_Metal_Porcentaje]]&gt;90,"Alta",IF(Tb_prod[[#This Row],[Recuperación_Metal_Porcentaje]]&gt;75,"Media","Baja"))</f>
        <v>Media</v>
      </c>
      <c r="X20" t="str">
        <f>IF(AND(Tb_prod[[#This Row],[Consumo_Energia_MWh]]&lt;=2000,Tb_prod[[#This Row],[Riesgo_Ambiental]]="Alto"),"Crítica","Normal")</f>
        <v>Normal</v>
      </c>
    </row>
    <row r="21" spans="1:24">
      <c r="A21">
        <v>279</v>
      </c>
      <c r="B21" t="str">
        <f>VLOOKUP(Tb_prod[[#This Row],[Región]],AUX_REGION[],2,0)</f>
        <v>Minera Staff</v>
      </c>
      <c r="C21" t="s">
        <v>21</v>
      </c>
      <c r="D21" t="s">
        <v>13</v>
      </c>
      <c r="E21" t="s">
        <v>19</v>
      </c>
      <c r="F21" t="s">
        <v>26</v>
      </c>
      <c r="G21" t="s">
        <v>16</v>
      </c>
      <c r="H21" s="23">
        <v>5899.68</v>
      </c>
      <c r="I21" s="23">
        <v>3012.19</v>
      </c>
      <c r="J21" s="23">
        <v>28296.97</v>
      </c>
      <c r="K21" s="23">
        <v>1160.9100000000001</v>
      </c>
      <c r="L21" s="10">
        <v>32776621740</v>
      </c>
      <c r="M21" s="9">
        <v>168280353360</v>
      </c>
      <c r="N21" s="12">
        <f xml:space="preserve"> Tb_prod[[#This Row],[Costo_Mantenimiento_CLP]] / Tb_prod[[#This Row],[Dias_Operación_Mes]]</f>
        <v>1092554058</v>
      </c>
      <c r="O21" s="11">
        <f>Tb_prod[[#This Row],[Costo_Operativo_CLP]] / Tb_prod[[#This Row],[Producción_Toneladas]]</f>
        <v>28523640.834757138</v>
      </c>
      <c r="P21">
        <v>295</v>
      </c>
      <c r="Q21">
        <v>30</v>
      </c>
      <c r="R21" s="6">
        <v>45690</v>
      </c>
      <c r="S21" t="str">
        <f t="shared" si="0"/>
        <v>domingo</v>
      </c>
      <c r="T21" t="str">
        <f t="shared" si="1"/>
        <v>febrero</v>
      </c>
      <c r="U21">
        <v>73.08</v>
      </c>
      <c r="V21">
        <f xml:space="preserve"> Tb_prod[[#This Row],[Emisiones_CO2_ton]] / Tb_prod[[#This Row],[Cantidad_Empleados]]</f>
        <v>3.9352881355932205</v>
      </c>
      <c r="W21" t="str">
        <f>IF(Tb_prod[[#This Row],[Recuperación_Metal_Porcentaje]]&gt;90,"Alta",IF(Tb_prod[[#This Row],[Recuperación_Metal_Porcentaje]]&gt;75,"Media","Baja"))</f>
        <v>Baja</v>
      </c>
      <c r="X21" t="str">
        <f>IF(AND(Tb_prod[[#This Row],[Consumo_Energia_MWh]]&lt;=2000,Tb_prod[[#This Row],[Riesgo_Ambiental]]="Alto"),"Crítica","Normal")</f>
        <v>Normal</v>
      </c>
    </row>
    <row r="22" spans="1:24">
      <c r="A22">
        <v>125</v>
      </c>
      <c r="B22" t="str">
        <f>VLOOKUP(Tb_prod[[#This Row],[Región]],AUX_REGION[],2,0)</f>
        <v>Minera Romero</v>
      </c>
      <c r="C22" t="s">
        <v>27</v>
      </c>
      <c r="D22" t="s">
        <v>23</v>
      </c>
      <c r="E22" t="s">
        <v>19</v>
      </c>
      <c r="F22" t="s">
        <v>26</v>
      </c>
      <c r="G22" t="s">
        <v>20</v>
      </c>
      <c r="H22" s="23">
        <v>4432.5600000000004</v>
      </c>
      <c r="I22" s="23">
        <v>2195.11</v>
      </c>
      <c r="J22" s="23">
        <v>28345.84</v>
      </c>
      <c r="K22" s="23">
        <v>1511.69</v>
      </c>
      <c r="L22" s="10">
        <v>9725168880</v>
      </c>
      <c r="M22" s="9">
        <v>58526546940</v>
      </c>
      <c r="N22" s="12">
        <f xml:space="preserve"> Tb_prod[[#This Row],[Costo_Mantenimiento_CLP]] / Tb_prod[[#This Row],[Dias_Operación_Mes]]</f>
        <v>486258444</v>
      </c>
      <c r="O22" s="11">
        <f>Tb_prod[[#This Row],[Costo_Operativo_CLP]] / Tb_prod[[#This Row],[Producción_Toneladas]]</f>
        <v>13203779.969137473</v>
      </c>
      <c r="P22">
        <v>164</v>
      </c>
      <c r="Q22">
        <v>20</v>
      </c>
      <c r="R22" s="6">
        <v>45608</v>
      </c>
      <c r="S22" t="str">
        <f t="shared" si="0"/>
        <v>martes</v>
      </c>
      <c r="T22" t="str">
        <f t="shared" si="1"/>
        <v>noviembre</v>
      </c>
      <c r="U22">
        <v>94.8</v>
      </c>
      <c r="V22">
        <f xml:space="preserve"> Tb_prod[[#This Row],[Emisiones_CO2_ton]] / Tb_prod[[#This Row],[Cantidad_Empleados]]</f>
        <v>9.2176219512195132</v>
      </c>
      <c r="W22" t="str">
        <f>IF(Tb_prod[[#This Row],[Recuperación_Metal_Porcentaje]]&gt;90,"Alta",IF(Tb_prod[[#This Row],[Recuperación_Metal_Porcentaje]]&gt;75,"Media","Baja"))</f>
        <v>Alta</v>
      </c>
      <c r="X22" t="str">
        <f>IF(AND(Tb_prod[[#This Row],[Consumo_Energia_MWh]]&lt;=2000,Tb_prod[[#This Row],[Riesgo_Ambiental]]="Alto"),"Crítica","Normal")</f>
        <v>Normal</v>
      </c>
    </row>
    <row r="23" spans="1:24">
      <c r="A23">
        <v>391</v>
      </c>
      <c r="B23" t="str">
        <f>VLOOKUP(Tb_prod[[#This Row],[Región]],AUX_REGION[],2,0)</f>
        <v>Minera Romero</v>
      </c>
      <c r="C23" t="s">
        <v>27</v>
      </c>
      <c r="D23" t="s">
        <v>23</v>
      </c>
      <c r="E23" t="s">
        <v>19</v>
      </c>
      <c r="F23" t="s">
        <v>24</v>
      </c>
      <c r="G23" t="s">
        <v>22</v>
      </c>
      <c r="H23" s="23">
        <v>5676.64</v>
      </c>
      <c r="I23" s="23">
        <v>2016.39</v>
      </c>
      <c r="J23" s="23">
        <v>28634.51</v>
      </c>
      <c r="K23" s="23">
        <v>756.1</v>
      </c>
      <c r="L23" s="10">
        <v>21691275210</v>
      </c>
      <c r="M23" s="9">
        <v>149091827760</v>
      </c>
      <c r="N23" s="12">
        <f xml:space="preserve"> Tb_prod[[#This Row],[Costo_Mantenimiento_CLP]] / Tb_prod[[#This Row],[Dias_Operación_Mes]]</f>
        <v>903803133.75</v>
      </c>
      <c r="O23" s="11">
        <f>Tb_prod[[#This Row],[Costo_Operativo_CLP]] / Tb_prod[[#This Row],[Producción_Toneladas]]</f>
        <v>26264097.733870737</v>
      </c>
      <c r="P23">
        <v>87</v>
      </c>
      <c r="Q23">
        <v>24</v>
      </c>
      <c r="R23" s="6">
        <v>45344</v>
      </c>
      <c r="S23" t="str">
        <f t="shared" si="0"/>
        <v>jueves</v>
      </c>
      <c r="T23" t="str">
        <f t="shared" si="1"/>
        <v>febrero</v>
      </c>
      <c r="U23">
        <v>73.19</v>
      </c>
      <c r="V23">
        <f xml:space="preserve"> Tb_prod[[#This Row],[Emisiones_CO2_ton]] / Tb_prod[[#This Row],[Cantidad_Empleados]]</f>
        <v>8.690804597701149</v>
      </c>
      <c r="W23" t="str">
        <f>IF(Tb_prod[[#This Row],[Recuperación_Metal_Porcentaje]]&gt;90,"Alta",IF(Tb_prod[[#This Row],[Recuperación_Metal_Porcentaje]]&gt;75,"Media","Baja"))</f>
        <v>Baja</v>
      </c>
      <c r="X23" t="str">
        <f>IF(AND(Tb_prod[[#This Row],[Consumo_Energia_MWh]]&lt;=2000,Tb_prod[[#This Row],[Riesgo_Ambiental]]="Alto"),"Crítica","Normal")</f>
        <v>Normal</v>
      </c>
    </row>
    <row r="24" spans="1:24">
      <c r="A24">
        <v>333</v>
      </c>
      <c r="B24" t="str">
        <f>VLOOKUP(Tb_prod[[#This Row],[Región]],AUX_REGION[],2,0)</f>
        <v>Minera Romero</v>
      </c>
      <c r="C24" t="s">
        <v>27</v>
      </c>
      <c r="D24" t="s">
        <v>23</v>
      </c>
      <c r="E24" t="s">
        <v>14</v>
      </c>
      <c r="F24" t="s">
        <v>24</v>
      </c>
      <c r="G24" t="s">
        <v>16</v>
      </c>
      <c r="H24" s="23">
        <v>5286.41</v>
      </c>
      <c r="I24" s="23">
        <v>2143.59</v>
      </c>
      <c r="J24" s="23">
        <v>29127.18</v>
      </c>
      <c r="K24" s="23">
        <v>1087.8</v>
      </c>
      <c r="L24" s="10">
        <v>1397507196538.8899</v>
      </c>
      <c r="M24" s="9">
        <v>91877625540</v>
      </c>
      <c r="N24" s="12">
        <f xml:space="preserve"> Tb_prod[[#This Row],[Costo_Mantenimiento_CLP]] / Tb_prod[[#This Row],[Dias_Operación_Mes]]</f>
        <v>49910971304.96035</v>
      </c>
      <c r="O24" s="11">
        <f>Tb_prod[[#This Row],[Costo_Operativo_CLP]] / Tb_prod[[#This Row],[Producción_Toneladas]]</f>
        <v>17379965.90124489</v>
      </c>
      <c r="P24">
        <v>234</v>
      </c>
      <c r="Q24">
        <v>28</v>
      </c>
      <c r="R24" s="6">
        <v>45414</v>
      </c>
      <c r="S24" t="str">
        <f t="shared" si="0"/>
        <v>jueves</v>
      </c>
      <c r="T24" t="str">
        <f t="shared" si="1"/>
        <v>mayo</v>
      </c>
      <c r="U24">
        <v>95.09</v>
      </c>
      <c r="V24">
        <f xml:space="preserve"> Tb_prod[[#This Row],[Emisiones_CO2_ton]] / Tb_prod[[#This Row],[Cantidad_Empleados]]</f>
        <v>4.6487179487179482</v>
      </c>
      <c r="W24" t="str">
        <f>IF(Tb_prod[[#This Row],[Recuperación_Metal_Porcentaje]]&gt;90,"Alta",IF(Tb_prod[[#This Row],[Recuperación_Metal_Porcentaje]]&gt;75,"Media","Baja"))</f>
        <v>Alta</v>
      </c>
      <c r="X24" t="str">
        <f>IF(AND(Tb_prod[[#This Row],[Consumo_Energia_MWh]]&lt;=2000,Tb_prod[[#This Row],[Riesgo_Ambiental]]="Alto"),"Crítica","Normal")</f>
        <v>Normal</v>
      </c>
    </row>
    <row r="25" spans="1:24">
      <c r="A25">
        <v>272</v>
      </c>
      <c r="B25" t="str">
        <f>VLOOKUP(Tb_prod[[#This Row],[Región]],AUX_REGION[],2,0)</f>
        <v>Minera del Norte</v>
      </c>
      <c r="C25" t="s">
        <v>27</v>
      </c>
      <c r="D25" t="s">
        <v>18</v>
      </c>
      <c r="E25" t="s">
        <v>19</v>
      </c>
      <c r="F25" t="s">
        <v>15</v>
      </c>
      <c r="G25" t="s">
        <v>22</v>
      </c>
      <c r="H25" s="23">
        <v>5521.1</v>
      </c>
      <c r="I25" s="23">
        <v>1990.51</v>
      </c>
      <c r="J25" s="23">
        <v>29497.78</v>
      </c>
      <c r="K25" s="23">
        <v>801.78</v>
      </c>
      <c r="L25" s="10">
        <v>4867728480</v>
      </c>
      <c r="M25" s="9">
        <v>35556974820</v>
      </c>
      <c r="N25" s="12">
        <f xml:space="preserve"> Tb_prod[[#This Row],[Costo_Mantenimiento_CLP]] / Tb_prod[[#This Row],[Dias_Operación_Mes]]</f>
        <v>162257616</v>
      </c>
      <c r="O25" s="11">
        <f>Tb_prod[[#This Row],[Costo_Operativo_CLP]] / Tb_prod[[#This Row],[Producción_Toneladas]]</f>
        <v>6440197.5729474192</v>
      </c>
      <c r="P25">
        <v>290</v>
      </c>
      <c r="Q25">
        <v>30</v>
      </c>
      <c r="R25" s="6">
        <v>45821</v>
      </c>
      <c r="S25" t="str">
        <f t="shared" si="0"/>
        <v>viernes</v>
      </c>
      <c r="T25" t="str">
        <f t="shared" si="1"/>
        <v>junio</v>
      </c>
      <c r="U25">
        <v>96.62</v>
      </c>
      <c r="V25">
        <f xml:space="preserve"> Tb_prod[[#This Row],[Emisiones_CO2_ton]] / Tb_prod[[#This Row],[Cantidad_Empleados]]</f>
        <v>2.7647586206896553</v>
      </c>
      <c r="W25" t="str">
        <f>IF(Tb_prod[[#This Row],[Recuperación_Metal_Porcentaje]]&gt;90,"Alta",IF(Tb_prod[[#This Row],[Recuperación_Metal_Porcentaje]]&gt;75,"Media","Baja"))</f>
        <v>Alta</v>
      </c>
      <c r="X25" t="str">
        <f>IF(AND(Tb_prod[[#This Row],[Consumo_Energia_MWh]]&lt;=2000,Tb_prod[[#This Row],[Riesgo_Ambiental]]="Alto"),"Crítica","Normal")</f>
        <v>Normal</v>
      </c>
    </row>
    <row r="26" spans="1:24">
      <c r="A26">
        <v>132</v>
      </c>
      <c r="B26" t="str">
        <f>VLOOKUP(Tb_prod[[#This Row],[Región]],AUX_REGION[],2,0)</f>
        <v>Minera del Norte</v>
      </c>
      <c r="C26" t="s">
        <v>17</v>
      </c>
      <c r="D26" t="s">
        <v>18</v>
      </c>
      <c r="E26" t="s">
        <v>14</v>
      </c>
      <c r="F26" t="s">
        <v>26</v>
      </c>
      <c r="G26" t="s">
        <v>22</v>
      </c>
      <c r="H26" s="23">
        <v>5891.55</v>
      </c>
      <c r="I26" s="23">
        <v>702.89</v>
      </c>
      <c r="J26" s="23">
        <v>29994.12</v>
      </c>
      <c r="K26" s="23">
        <v>1103.47</v>
      </c>
      <c r="L26" s="10">
        <v>22148222850</v>
      </c>
      <c r="M26" s="9">
        <v>23965765650</v>
      </c>
      <c r="N26" s="12">
        <f xml:space="preserve"> Tb_prod[[#This Row],[Costo_Mantenimiento_CLP]] / Tb_prod[[#This Row],[Dias_Operación_Mes]]</f>
        <v>820304550</v>
      </c>
      <c r="O26" s="11">
        <f>Tb_prod[[#This Row],[Costo_Operativo_CLP]] / Tb_prod[[#This Row],[Producción_Toneladas]]</f>
        <v>4067820.123736538</v>
      </c>
      <c r="P26">
        <v>256</v>
      </c>
      <c r="Q26">
        <v>27</v>
      </c>
      <c r="R26" s="6">
        <v>45559</v>
      </c>
      <c r="S26" t="str">
        <f t="shared" si="0"/>
        <v>martes</v>
      </c>
      <c r="T26" t="str">
        <f t="shared" si="1"/>
        <v>septiembre</v>
      </c>
      <c r="U26">
        <v>97.97</v>
      </c>
      <c r="V26">
        <f xml:space="preserve"> Tb_prod[[#This Row],[Emisiones_CO2_ton]] / Tb_prod[[#This Row],[Cantidad_Empleados]]</f>
        <v>4.3104296875000001</v>
      </c>
      <c r="W26" t="str">
        <f>IF(Tb_prod[[#This Row],[Recuperación_Metal_Porcentaje]]&gt;90,"Alta",IF(Tb_prod[[#This Row],[Recuperación_Metal_Porcentaje]]&gt;75,"Media","Baja"))</f>
        <v>Alta</v>
      </c>
      <c r="X26" t="str">
        <f>IF(AND(Tb_prod[[#This Row],[Consumo_Energia_MWh]]&lt;=2000,Tb_prod[[#This Row],[Riesgo_Ambiental]]="Alto"),"Crítica","Normal")</f>
        <v>Normal</v>
      </c>
    </row>
    <row r="27" spans="1:24">
      <c r="A27">
        <v>104</v>
      </c>
      <c r="B27" t="str">
        <f>VLOOKUP(Tb_prod[[#This Row],[Región]],AUX_REGION[],2,0)</f>
        <v>Minera del Norte</v>
      </c>
      <c r="C27" t="s">
        <v>25</v>
      </c>
      <c r="D27" t="s">
        <v>18</v>
      </c>
      <c r="E27" t="s">
        <v>14</v>
      </c>
      <c r="F27" t="s">
        <v>15</v>
      </c>
      <c r="G27" t="s">
        <v>22</v>
      </c>
      <c r="H27" s="23">
        <v>4001.09</v>
      </c>
      <c r="I27" s="23">
        <v>2347.64</v>
      </c>
      <c r="J27" s="23">
        <v>30323.49</v>
      </c>
      <c r="K27" s="23">
        <v>1063.52</v>
      </c>
      <c r="L27" s="10">
        <v>12639257910</v>
      </c>
      <c r="M27" s="9">
        <v>142997963220</v>
      </c>
      <c r="N27" s="12">
        <f xml:space="preserve"> Tb_prod[[#This Row],[Costo_Mantenimiento_CLP]] / Tb_prod[[#This Row],[Dias_Operación_Mes]]</f>
        <v>631962895.5</v>
      </c>
      <c r="O27" s="11">
        <f>Tb_prod[[#This Row],[Costo_Operativo_CLP]] / Tb_prod[[#This Row],[Producción_Toneladas]]</f>
        <v>35739751.722655572</v>
      </c>
      <c r="P27">
        <v>109</v>
      </c>
      <c r="Q27">
        <v>20</v>
      </c>
      <c r="R27" s="6">
        <v>45429</v>
      </c>
      <c r="S27" t="str">
        <f t="shared" si="0"/>
        <v>viernes</v>
      </c>
      <c r="T27" t="str">
        <f t="shared" si="1"/>
        <v>mayo</v>
      </c>
      <c r="U27">
        <v>77.260000000000005</v>
      </c>
      <c r="V27">
        <f xml:space="preserve"> Tb_prod[[#This Row],[Emisiones_CO2_ton]] / Tb_prod[[#This Row],[Cantidad_Empleados]]</f>
        <v>9.7570642201834854</v>
      </c>
      <c r="W27" t="str">
        <f>IF(Tb_prod[[#This Row],[Recuperación_Metal_Porcentaje]]&gt;90,"Alta",IF(Tb_prod[[#This Row],[Recuperación_Metal_Porcentaje]]&gt;75,"Media","Baja"))</f>
        <v>Media</v>
      </c>
      <c r="X27" t="str">
        <f>IF(AND(Tb_prod[[#This Row],[Consumo_Energia_MWh]]&lt;=2000,Tb_prod[[#This Row],[Riesgo_Ambiental]]="Alto"),"Crítica","Normal")</f>
        <v>Normal</v>
      </c>
    </row>
    <row r="28" spans="1:24">
      <c r="A28">
        <v>409</v>
      </c>
      <c r="B28" t="str">
        <f>VLOOKUP(Tb_prod[[#This Row],[Región]],AUX_REGION[],2,0)</f>
        <v>Minera del Norte</v>
      </c>
      <c r="C28" t="s">
        <v>17</v>
      </c>
      <c r="D28" t="s">
        <v>18</v>
      </c>
      <c r="E28" t="s">
        <v>14</v>
      </c>
      <c r="F28" t="s">
        <v>15</v>
      </c>
      <c r="G28" t="s">
        <v>22</v>
      </c>
      <c r="H28" s="23">
        <v>3219.95</v>
      </c>
      <c r="I28" s="23">
        <v>2176.04</v>
      </c>
      <c r="J28" s="23">
        <v>30358.7</v>
      </c>
      <c r="K28" s="23">
        <v>1133.6600000000001</v>
      </c>
      <c r="L28" s="10">
        <v>30645498600</v>
      </c>
      <c r="M28" s="9">
        <v>126690644970</v>
      </c>
      <c r="N28" s="12">
        <f xml:space="preserve"> Tb_prod[[#This Row],[Costo_Mantenimiento_CLP]] / Tb_prod[[#This Row],[Dias_Operación_Mes]]</f>
        <v>1532274930</v>
      </c>
      <c r="O28" s="11">
        <f>Tb_prod[[#This Row],[Costo_Operativo_CLP]] / Tb_prod[[#This Row],[Producción_Toneladas]]</f>
        <v>39345531.75359866</v>
      </c>
      <c r="P28">
        <v>277</v>
      </c>
      <c r="Q28">
        <v>20</v>
      </c>
      <c r="R28" s="6">
        <v>45205</v>
      </c>
      <c r="S28" t="str">
        <f t="shared" si="0"/>
        <v>viernes</v>
      </c>
      <c r="T28" t="str">
        <f t="shared" si="1"/>
        <v>octubre</v>
      </c>
      <c r="U28">
        <v>70.040000000000006</v>
      </c>
      <c r="V28">
        <f xml:space="preserve"> Tb_prod[[#This Row],[Emisiones_CO2_ton]] / Tb_prod[[#This Row],[Cantidad_Empleados]]</f>
        <v>4.0926353790613721</v>
      </c>
      <c r="W28" t="str">
        <f>IF(Tb_prod[[#This Row],[Recuperación_Metal_Porcentaje]]&gt;90,"Alta",IF(Tb_prod[[#This Row],[Recuperación_Metal_Porcentaje]]&gt;75,"Media","Baja"))</f>
        <v>Baja</v>
      </c>
      <c r="X28" t="str">
        <f>IF(AND(Tb_prod[[#This Row],[Consumo_Energia_MWh]]&lt;=2000,Tb_prod[[#This Row],[Riesgo_Ambiental]]="Alto"),"Crítica","Normal")</f>
        <v>Normal</v>
      </c>
    </row>
    <row r="29" spans="1:24">
      <c r="A29">
        <v>252</v>
      </c>
      <c r="B29" t="str">
        <f>VLOOKUP(Tb_prod[[#This Row],[Región]],AUX_REGION[],2,0)</f>
        <v>Minera Staff</v>
      </c>
      <c r="C29" t="s">
        <v>12</v>
      </c>
      <c r="D29" t="s">
        <v>13</v>
      </c>
      <c r="E29" t="s">
        <v>14</v>
      </c>
      <c r="F29" t="s">
        <v>26</v>
      </c>
      <c r="G29" t="s">
        <v>22</v>
      </c>
      <c r="H29" s="23">
        <v>4693.95</v>
      </c>
      <c r="I29" s="23">
        <v>2937.48</v>
      </c>
      <c r="J29" s="23">
        <v>30368.13</v>
      </c>
      <c r="K29" s="23">
        <v>1443.3</v>
      </c>
      <c r="L29" s="10">
        <v>33697976400</v>
      </c>
      <c r="M29" s="9">
        <v>74475630000</v>
      </c>
      <c r="N29" s="12">
        <f xml:space="preserve"> Tb_prod[[#This Row],[Costo_Mantenimiento_CLP]] / Tb_prod[[#This Row],[Dias_Operación_Mes]]</f>
        <v>1347919056</v>
      </c>
      <c r="O29" s="11">
        <f>Tb_prod[[#This Row],[Costo_Operativo_CLP]] / Tb_prod[[#This Row],[Producción_Toneladas]]</f>
        <v>15866302.367941713</v>
      </c>
      <c r="P29">
        <v>192</v>
      </c>
      <c r="Q29">
        <v>25</v>
      </c>
      <c r="R29" s="6">
        <v>45533</v>
      </c>
      <c r="S29" t="str">
        <f t="shared" si="0"/>
        <v>jueves</v>
      </c>
      <c r="T29" t="str">
        <f t="shared" si="1"/>
        <v>agosto</v>
      </c>
      <c r="U29">
        <v>73.39</v>
      </c>
      <c r="V29">
        <f xml:space="preserve"> Tb_prod[[#This Row],[Emisiones_CO2_ton]] / Tb_prod[[#This Row],[Cantidad_Empleados]]</f>
        <v>7.5171874999999995</v>
      </c>
      <c r="W29" t="str">
        <f>IF(Tb_prod[[#This Row],[Recuperación_Metal_Porcentaje]]&gt;90,"Alta",IF(Tb_prod[[#This Row],[Recuperación_Metal_Porcentaje]]&gt;75,"Media","Baja"))</f>
        <v>Baja</v>
      </c>
      <c r="X29" t="str">
        <f>IF(AND(Tb_prod[[#This Row],[Consumo_Energia_MWh]]&lt;=2000,Tb_prod[[#This Row],[Riesgo_Ambiental]]="Alto"),"Crítica","Normal")</f>
        <v>Normal</v>
      </c>
    </row>
    <row r="30" spans="1:24">
      <c r="A30">
        <v>393</v>
      </c>
      <c r="B30" t="str">
        <f>VLOOKUP(Tb_prod[[#This Row],[Región]],AUX_REGION[],2,0)</f>
        <v>Minera Staff</v>
      </c>
      <c r="C30" t="s">
        <v>17</v>
      </c>
      <c r="D30" t="s">
        <v>13</v>
      </c>
      <c r="E30" t="s">
        <v>19</v>
      </c>
      <c r="F30" t="s">
        <v>24</v>
      </c>
      <c r="G30" t="s">
        <v>16</v>
      </c>
      <c r="H30" s="23">
        <v>5004.17</v>
      </c>
      <c r="I30" s="23">
        <v>1744.14</v>
      </c>
      <c r="J30" s="23">
        <v>30424.71</v>
      </c>
      <c r="K30" s="23">
        <v>1389.23</v>
      </c>
      <c r="L30" s="10">
        <v>12144617730</v>
      </c>
      <c r="M30" s="9">
        <v>146272279680</v>
      </c>
      <c r="N30" s="12">
        <f xml:space="preserve"> Tb_prod[[#This Row],[Costo_Mantenimiento_CLP]] / Tb_prod[[#This Row],[Dias_Operación_Mes]]</f>
        <v>467100681.92307693</v>
      </c>
      <c r="O30" s="11">
        <f>Tb_prod[[#This Row],[Costo_Operativo_CLP]] / Tb_prod[[#This Row],[Producción_Toneladas]]</f>
        <v>29230078.050905544</v>
      </c>
      <c r="P30">
        <v>86</v>
      </c>
      <c r="Q30">
        <v>26</v>
      </c>
      <c r="R30" s="6">
        <v>45543</v>
      </c>
      <c r="S30" t="str">
        <f t="shared" si="0"/>
        <v>domingo</v>
      </c>
      <c r="T30" t="str">
        <f t="shared" si="1"/>
        <v>septiembre</v>
      </c>
      <c r="U30">
        <v>76.989999999999995</v>
      </c>
      <c r="V30">
        <f xml:space="preserve"> Tb_prod[[#This Row],[Emisiones_CO2_ton]] / Tb_prod[[#This Row],[Cantidad_Empleados]]</f>
        <v>16.153837209302324</v>
      </c>
      <c r="W30" t="str">
        <f>IF(Tb_prod[[#This Row],[Recuperación_Metal_Porcentaje]]&gt;90,"Alta",IF(Tb_prod[[#This Row],[Recuperación_Metal_Porcentaje]]&gt;75,"Media","Baja"))</f>
        <v>Media</v>
      </c>
      <c r="X30" t="str">
        <f>IF(AND(Tb_prod[[#This Row],[Consumo_Energia_MWh]]&lt;=2000,Tb_prod[[#This Row],[Riesgo_Ambiental]]="Alto"),"Crítica","Normal")</f>
        <v>Normal</v>
      </c>
    </row>
    <row r="31" spans="1:24">
      <c r="A31">
        <v>304</v>
      </c>
      <c r="B31" t="str">
        <f>VLOOKUP(Tb_prod[[#This Row],[Región]],AUX_REGION[],2,0)</f>
        <v>Minera Romero</v>
      </c>
      <c r="C31" t="s">
        <v>17</v>
      </c>
      <c r="D31" t="s">
        <v>23</v>
      </c>
      <c r="E31" t="s">
        <v>14</v>
      </c>
      <c r="F31" t="s">
        <v>26</v>
      </c>
      <c r="G31" t="s">
        <v>16</v>
      </c>
      <c r="H31" s="23">
        <v>4557.1099999999997</v>
      </c>
      <c r="I31" s="23">
        <v>1898.45</v>
      </c>
      <c r="J31" s="23">
        <v>30502.62</v>
      </c>
      <c r="K31" s="23">
        <v>932.99</v>
      </c>
      <c r="L31" s="10">
        <v>2778608070</v>
      </c>
      <c r="M31" s="9">
        <v>32807202750</v>
      </c>
      <c r="N31" s="12">
        <f xml:space="preserve"> Tb_prod[[#This Row],[Costo_Mantenimiento_CLP]] / Tb_prod[[#This Row],[Dias_Operación_Mes]]</f>
        <v>120809046.52173913</v>
      </c>
      <c r="O31" s="11">
        <f>Tb_prod[[#This Row],[Costo_Operativo_CLP]] / Tb_prod[[#This Row],[Producción_Toneladas]]</f>
        <v>7199124.6096758693</v>
      </c>
      <c r="P31">
        <v>229</v>
      </c>
      <c r="Q31">
        <v>23</v>
      </c>
      <c r="R31" s="6">
        <v>45190</v>
      </c>
      <c r="S31" t="str">
        <f t="shared" si="0"/>
        <v>jueves</v>
      </c>
      <c r="T31" t="str">
        <f t="shared" si="1"/>
        <v>septiembre</v>
      </c>
      <c r="U31">
        <v>86.92</v>
      </c>
      <c r="V31">
        <f xml:space="preserve"> Tb_prod[[#This Row],[Emisiones_CO2_ton]] / Tb_prod[[#This Row],[Cantidad_Empleados]]</f>
        <v>4.074192139737991</v>
      </c>
      <c r="W31" t="str">
        <f>IF(Tb_prod[[#This Row],[Recuperación_Metal_Porcentaje]]&gt;90,"Alta",IF(Tb_prod[[#This Row],[Recuperación_Metal_Porcentaje]]&gt;75,"Media","Baja"))</f>
        <v>Media</v>
      </c>
      <c r="X31" t="str">
        <f>IF(AND(Tb_prod[[#This Row],[Consumo_Energia_MWh]]&lt;=2000,Tb_prod[[#This Row],[Riesgo_Ambiental]]="Alto"),"Crítica","Normal")</f>
        <v>Normal</v>
      </c>
    </row>
    <row r="32" spans="1:24">
      <c r="A32">
        <v>78</v>
      </c>
      <c r="B32" t="str">
        <f>VLOOKUP(Tb_prod[[#This Row],[Región]],AUX_REGION[],2,0)</f>
        <v>Minera Romero</v>
      </c>
      <c r="C32" t="s">
        <v>12</v>
      </c>
      <c r="D32" t="s">
        <v>23</v>
      </c>
      <c r="E32" t="s">
        <v>14</v>
      </c>
      <c r="F32" t="s">
        <v>26</v>
      </c>
      <c r="G32" t="s">
        <v>20</v>
      </c>
      <c r="H32" s="23">
        <v>7420.95</v>
      </c>
      <c r="I32" s="23">
        <v>1843.8</v>
      </c>
      <c r="J32" s="23">
        <v>30517.599999999999</v>
      </c>
      <c r="K32" s="23">
        <v>1068.98</v>
      </c>
      <c r="L32" s="10">
        <v>19450505790</v>
      </c>
      <c r="M32" s="9">
        <v>34892799030</v>
      </c>
      <c r="N32" s="12">
        <f xml:space="preserve"> Tb_prod[[#This Row],[Costo_Mantenimiento_CLP]] / Tb_prod[[#This Row],[Dias_Operación_Mes]]</f>
        <v>810437741.25</v>
      </c>
      <c r="O32" s="11">
        <f>Tb_prod[[#This Row],[Costo_Operativo_CLP]] / Tb_prod[[#This Row],[Producción_Toneladas]]</f>
        <v>4701931.5626705475</v>
      </c>
      <c r="P32">
        <v>215</v>
      </c>
      <c r="Q32">
        <v>24</v>
      </c>
      <c r="R32" s="6">
        <v>45439</v>
      </c>
      <c r="S32" t="str">
        <f t="shared" si="0"/>
        <v>lunes</v>
      </c>
      <c r="T32" t="str">
        <f t="shared" si="1"/>
        <v>mayo</v>
      </c>
      <c r="U32">
        <v>75.16</v>
      </c>
      <c r="V32">
        <f xml:space="preserve"> Tb_prod[[#This Row],[Emisiones_CO2_ton]] / Tb_prod[[#This Row],[Cantidad_Empleados]]</f>
        <v>4.9720000000000004</v>
      </c>
      <c r="W32" t="str">
        <f>IF(Tb_prod[[#This Row],[Recuperación_Metal_Porcentaje]]&gt;90,"Alta",IF(Tb_prod[[#This Row],[Recuperación_Metal_Porcentaje]]&gt;75,"Media","Baja"))</f>
        <v>Media</v>
      </c>
      <c r="X32" t="str">
        <f>IF(AND(Tb_prod[[#This Row],[Consumo_Energia_MWh]]&lt;=2000,Tb_prod[[#This Row],[Riesgo_Ambiental]]="Alto"),"Crítica","Normal")</f>
        <v>Crítica</v>
      </c>
    </row>
    <row r="33" spans="1:24">
      <c r="A33">
        <v>52</v>
      </c>
      <c r="B33" t="str">
        <f>VLOOKUP(Tb_prod[[#This Row],[Región]],AUX_REGION[],2,0)</f>
        <v>Minera del Norte</v>
      </c>
      <c r="C33" t="s">
        <v>12</v>
      </c>
      <c r="D33" t="s">
        <v>18</v>
      </c>
      <c r="E33" t="s">
        <v>19</v>
      </c>
      <c r="F33" t="s">
        <v>26</v>
      </c>
      <c r="G33" t="s">
        <v>22</v>
      </c>
      <c r="H33" s="23">
        <v>3073.79</v>
      </c>
      <c r="I33" s="23">
        <v>1869.05</v>
      </c>
      <c r="J33" s="23">
        <v>30524.799999999999</v>
      </c>
      <c r="K33" s="23">
        <v>1136.2</v>
      </c>
      <c r="L33" s="10">
        <v>25125425640</v>
      </c>
      <c r="M33" s="9">
        <v>172099166670</v>
      </c>
      <c r="N33" s="12">
        <f xml:space="preserve"> Tb_prod[[#This Row],[Costo_Mantenimiento_CLP]] / Tb_prod[[#This Row],[Dias_Operación_Mes]]</f>
        <v>966362524.61538458</v>
      </c>
      <c r="O33" s="11">
        <f>Tb_prod[[#This Row],[Costo_Operativo_CLP]] / Tb_prod[[#This Row],[Producción_Toneladas]]</f>
        <v>55989240.211595461</v>
      </c>
      <c r="P33">
        <v>200</v>
      </c>
      <c r="Q33">
        <v>26</v>
      </c>
      <c r="R33" s="6">
        <v>45749</v>
      </c>
      <c r="S33" t="str">
        <f t="shared" si="0"/>
        <v>miércoles</v>
      </c>
      <c r="T33" t="str">
        <f t="shared" si="1"/>
        <v>abril</v>
      </c>
      <c r="U33">
        <v>88.67</v>
      </c>
      <c r="V33">
        <f xml:space="preserve"> Tb_prod[[#This Row],[Emisiones_CO2_ton]] / Tb_prod[[#This Row],[Cantidad_Empleados]]</f>
        <v>5.681</v>
      </c>
      <c r="W33" t="str">
        <f>IF(Tb_prod[[#This Row],[Recuperación_Metal_Porcentaje]]&gt;90,"Alta",IF(Tb_prod[[#This Row],[Recuperación_Metal_Porcentaje]]&gt;75,"Media","Baja"))</f>
        <v>Media</v>
      </c>
      <c r="X33" t="str">
        <f>IF(AND(Tb_prod[[#This Row],[Consumo_Energia_MWh]]&lt;=2000,Tb_prod[[#This Row],[Riesgo_Ambiental]]="Alto"),"Crítica","Normal")</f>
        <v>Normal</v>
      </c>
    </row>
    <row r="34" spans="1:24">
      <c r="A34">
        <v>31</v>
      </c>
      <c r="B34" t="str">
        <f>VLOOKUP(Tb_prod[[#This Row],[Región]],AUX_REGION[],2,0)</f>
        <v>Minera Staff</v>
      </c>
      <c r="C34" t="s">
        <v>21</v>
      </c>
      <c r="D34" t="s">
        <v>13</v>
      </c>
      <c r="E34" t="s">
        <v>19</v>
      </c>
      <c r="F34" t="s">
        <v>26</v>
      </c>
      <c r="G34" t="s">
        <v>16</v>
      </c>
      <c r="H34" s="23">
        <v>3123.51</v>
      </c>
      <c r="I34" s="23">
        <v>2219.1799999999998</v>
      </c>
      <c r="J34" s="23">
        <v>30546.57</v>
      </c>
      <c r="K34" s="23">
        <v>475.49</v>
      </c>
      <c r="L34" s="10">
        <v>44808241950</v>
      </c>
      <c r="M34" s="9">
        <v>54231799770</v>
      </c>
      <c r="N34" s="12">
        <f xml:space="preserve"> Tb_prod[[#This Row],[Costo_Mantenimiento_CLP]] / Tb_prod[[#This Row],[Dias_Operación_Mes]]</f>
        <v>1948184432.6086957</v>
      </c>
      <c r="O34" s="11">
        <f>Tb_prod[[#This Row],[Costo_Operativo_CLP]] / Tb_prod[[#This Row],[Producción_Toneladas]]</f>
        <v>17362454.344631519</v>
      </c>
      <c r="P34">
        <v>107</v>
      </c>
      <c r="Q34">
        <v>23</v>
      </c>
      <c r="R34" s="6">
        <v>45215</v>
      </c>
      <c r="S34" t="str">
        <f t="shared" si="0"/>
        <v>lunes</v>
      </c>
      <c r="T34" t="str">
        <f t="shared" si="1"/>
        <v>octubre</v>
      </c>
      <c r="U34">
        <v>87.72</v>
      </c>
      <c r="V34">
        <f xml:space="preserve"> Tb_prod[[#This Row],[Emisiones_CO2_ton]] / Tb_prod[[#This Row],[Cantidad_Empleados]]</f>
        <v>4.4438317757009349</v>
      </c>
      <c r="W34" t="str">
        <f>IF(Tb_prod[[#This Row],[Recuperación_Metal_Porcentaje]]&gt;90,"Alta",IF(Tb_prod[[#This Row],[Recuperación_Metal_Porcentaje]]&gt;75,"Media","Baja"))</f>
        <v>Media</v>
      </c>
      <c r="X34" t="str">
        <f>IF(AND(Tb_prod[[#This Row],[Consumo_Energia_MWh]]&lt;=2000,Tb_prod[[#This Row],[Riesgo_Ambiental]]="Alto"),"Crítica","Normal")</f>
        <v>Normal</v>
      </c>
    </row>
    <row r="35" spans="1:24">
      <c r="A35">
        <v>66</v>
      </c>
      <c r="B35" t="str">
        <f>VLOOKUP(Tb_prod[[#This Row],[Región]],AUX_REGION[],2,0)</f>
        <v>Minera Staff</v>
      </c>
      <c r="C35" t="s">
        <v>12</v>
      </c>
      <c r="D35" t="s">
        <v>13</v>
      </c>
      <c r="E35" t="s">
        <v>14</v>
      </c>
      <c r="F35" t="s">
        <v>26</v>
      </c>
      <c r="G35" t="s">
        <v>20</v>
      </c>
      <c r="H35" s="23">
        <v>4024.44</v>
      </c>
      <c r="I35" s="23">
        <v>1724.63</v>
      </c>
      <c r="J35" s="23">
        <v>31225</v>
      </c>
      <c r="K35" s="23">
        <v>1108.94</v>
      </c>
      <c r="L35" s="10">
        <v>44060154390</v>
      </c>
      <c r="M35" s="9">
        <v>177503925330</v>
      </c>
      <c r="N35" s="12">
        <f xml:space="preserve"> Tb_prod[[#This Row],[Costo_Mantenimiento_CLP]] / Tb_prod[[#This Row],[Dias_Operación_Mes]]</f>
        <v>1573576942.5</v>
      </c>
      <c r="O35" s="11">
        <f>Tb_prod[[#This Row],[Costo_Operativo_CLP]] / Tb_prod[[#This Row],[Producción_Toneladas]]</f>
        <v>44106490.674478933</v>
      </c>
      <c r="P35">
        <v>213</v>
      </c>
      <c r="Q35">
        <v>28</v>
      </c>
      <c r="R35" s="6">
        <v>46008</v>
      </c>
      <c r="S35" t="str">
        <f t="shared" si="0"/>
        <v>miércoles</v>
      </c>
      <c r="T35" t="str">
        <f t="shared" si="1"/>
        <v>diciembre</v>
      </c>
      <c r="U35">
        <v>97.42</v>
      </c>
      <c r="V35">
        <f xml:space="preserve"> Tb_prod[[#This Row],[Emisiones_CO2_ton]] / Tb_prod[[#This Row],[Cantidad_Empleados]]</f>
        <v>5.2062910798122068</v>
      </c>
      <c r="W35" t="str">
        <f>IF(Tb_prod[[#This Row],[Recuperación_Metal_Porcentaje]]&gt;90,"Alta",IF(Tb_prod[[#This Row],[Recuperación_Metal_Porcentaje]]&gt;75,"Media","Baja"))</f>
        <v>Alta</v>
      </c>
      <c r="X35" t="str">
        <f>IF(AND(Tb_prod[[#This Row],[Consumo_Energia_MWh]]&lt;=2000,Tb_prod[[#This Row],[Riesgo_Ambiental]]="Alto"),"Crítica","Normal")</f>
        <v>Crítica</v>
      </c>
    </row>
    <row r="36" spans="1:24">
      <c r="A36">
        <v>2</v>
      </c>
      <c r="B36" t="str">
        <f>VLOOKUP(Tb_prod[[#This Row],[Región]],AUX_REGION[],2,0)</f>
        <v>Minera del Norte</v>
      </c>
      <c r="C36" t="s">
        <v>17</v>
      </c>
      <c r="D36" t="s">
        <v>18</v>
      </c>
      <c r="E36" t="s">
        <v>19</v>
      </c>
      <c r="F36" t="s">
        <v>15</v>
      </c>
      <c r="G36" t="s">
        <v>20</v>
      </c>
      <c r="H36" s="23">
        <v>4814.16</v>
      </c>
      <c r="I36" s="23">
        <v>2416.64</v>
      </c>
      <c r="J36" s="23">
        <v>31757.89</v>
      </c>
      <c r="K36" s="23">
        <v>1730.32</v>
      </c>
      <c r="L36" s="10">
        <v>35915356890</v>
      </c>
      <c r="M36" s="9">
        <v>54955000800</v>
      </c>
      <c r="N36" s="12">
        <f xml:space="preserve"> Tb_prod[[#This Row],[Costo_Mantenimiento_CLP]] / Tb_prod[[#This Row],[Dias_Operación_Mes]]</f>
        <v>1795767844.5</v>
      </c>
      <c r="O36" s="11">
        <f>Tb_prod[[#This Row],[Costo_Operativo_CLP]] / Tb_prod[[#This Row],[Producción_Toneladas]]</f>
        <v>11415283.413928909</v>
      </c>
      <c r="P36">
        <v>288</v>
      </c>
      <c r="Q36">
        <v>20</v>
      </c>
      <c r="R36" s="6">
        <v>45402</v>
      </c>
      <c r="S36" t="str">
        <f t="shared" si="0"/>
        <v>sábado</v>
      </c>
      <c r="T36" t="str">
        <f t="shared" si="1"/>
        <v>abril</v>
      </c>
      <c r="U36">
        <v>72.430000000000007</v>
      </c>
      <c r="V36">
        <f xml:space="preserve"> Tb_prod[[#This Row],[Emisiones_CO2_ton]] / Tb_prod[[#This Row],[Cantidad_Empleados]]</f>
        <v>6.008055555555555</v>
      </c>
      <c r="W36" t="str">
        <f>IF(Tb_prod[[#This Row],[Recuperación_Metal_Porcentaje]]&gt;90,"Alta",IF(Tb_prod[[#This Row],[Recuperación_Metal_Porcentaje]]&gt;75,"Media","Baja"))</f>
        <v>Baja</v>
      </c>
      <c r="X36" t="str">
        <f>IF(AND(Tb_prod[[#This Row],[Consumo_Energia_MWh]]&lt;=2000,Tb_prod[[#This Row],[Riesgo_Ambiental]]="Alto"),"Crítica","Normal")</f>
        <v>Normal</v>
      </c>
    </row>
    <row r="37" spans="1:24">
      <c r="A37">
        <v>37</v>
      </c>
      <c r="B37" t="str">
        <f>VLOOKUP(Tb_prod[[#This Row],[Región]],AUX_REGION[],2,0)</f>
        <v>Minera Romero</v>
      </c>
      <c r="C37" t="s">
        <v>21</v>
      </c>
      <c r="D37" t="s">
        <v>23</v>
      </c>
      <c r="E37" t="s">
        <v>14</v>
      </c>
      <c r="F37" t="s">
        <v>26</v>
      </c>
      <c r="G37" t="s">
        <v>20</v>
      </c>
      <c r="H37" s="23">
        <v>4706</v>
      </c>
      <c r="I37" s="23">
        <v>3315.14</v>
      </c>
      <c r="J37" s="23">
        <v>31852.69</v>
      </c>
      <c r="K37" s="23">
        <v>722.65</v>
      </c>
      <c r="L37" s="10">
        <v>3049145280</v>
      </c>
      <c r="M37" s="9">
        <v>11952216090</v>
      </c>
      <c r="N37" s="12">
        <f xml:space="preserve"> Tb_prod[[#This Row],[Costo_Mantenimiento_CLP]] / Tb_prod[[#This Row],[Dias_Operación_Mes]]</f>
        <v>105142940.68965517</v>
      </c>
      <c r="O37" s="11">
        <f>Tb_prod[[#This Row],[Costo_Operativo_CLP]] / Tb_prod[[#This Row],[Producción_Toneladas]]</f>
        <v>2539782.4245643858</v>
      </c>
      <c r="P37">
        <v>187</v>
      </c>
      <c r="Q37">
        <v>29</v>
      </c>
      <c r="R37" s="6">
        <v>45242</v>
      </c>
      <c r="S37" t="str">
        <f t="shared" si="0"/>
        <v>domingo</v>
      </c>
      <c r="T37" t="str">
        <f t="shared" si="1"/>
        <v>noviembre</v>
      </c>
      <c r="U37">
        <v>86.88</v>
      </c>
      <c r="V37">
        <f xml:space="preserve"> Tb_prod[[#This Row],[Emisiones_CO2_ton]] / Tb_prod[[#This Row],[Cantidad_Empleados]]</f>
        <v>3.8644385026737966</v>
      </c>
      <c r="W37" t="str">
        <f>IF(Tb_prod[[#This Row],[Recuperación_Metal_Porcentaje]]&gt;90,"Alta",IF(Tb_prod[[#This Row],[Recuperación_Metal_Porcentaje]]&gt;75,"Media","Baja"))</f>
        <v>Media</v>
      </c>
      <c r="X37" t="str">
        <f>IF(AND(Tb_prod[[#This Row],[Consumo_Energia_MWh]]&lt;=2000,Tb_prod[[#This Row],[Riesgo_Ambiental]]="Alto"),"Crítica","Normal")</f>
        <v>Normal</v>
      </c>
    </row>
    <row r="38" spans="1:24">
      <c r="A38">
        <v>479</v>
      </c>
      <c r="B38" t="str">
        <f>VLOOKUP(Tb_prod[[#This Row],[Región]],AUX_REGION[],2,0)</f>
        <v>Minera del Norte</v>
      </c>
      <c r="C38" t="s">
        <v>17</v>
      </c>
      <c r="D38" t="s">
        <v>18</v>
      </c>
      <c r="E38" t="s">
        <v>14</v>
      </c>
      <c r="F38" t="s">
        <v>15</v>
      </c>
      <c r="G38" t="s">
        <v>20</v>
      </c>
      <c r="H38" s="23">
        <v>6696.05</v>
      </c>
      <c r="I38" s="23">
        <v>1281.1400000000001</v>
      </c>
      <c r="J38" s="23">
        <v>31876.34</v>
      </c>
      <c r="K38" s="23">
        <v>1571.78</v>
      </c>
      <c r="L38" s="10">
        <v>32872765680</v>
      </c>
      <c r="M38" s="9">
        <v>135206173530</v>
      </c>
      <c r="N38" s="12">
        <f xml:space="preserve"> Tb_prod[[#This Row],[Costo_Mantenimiento_CLP]] / Tb_prod[[#This Row],[Dias_Operación_Mes]]</f>
        <v>1429250681.7391305</v>
      </c>
      <c r="O38" s="11">
        <f>Tb_prod[[#This Row],[Costo_Operativo_CLP]] / Tb_prod[[#This Row],[Producción_Toneladas]]</f>
        <v>20191930.09759485</v>
      </c>
      <c r="P38">
        <v>227</v>
      </c>
      <c r="Q38">
        <v>23</v>
      </c>
      <c r="R38" s="6">
        <v>45431</v>
      </c>
      <c r="S38" t="str">
        <f t="shared" si="0"/>
        <v>domingo</v>
      </c>
      <c r="T38" t="str">
        <f t="shared" si="1"/>
        <v>mayo</v>
      </c>
      <c r="U38">
        <v>89.46</v>
      </c>
      <c r="V38">
        <f xml:space="preserve"> Tb_prod[[#This Row],[Emisiones_CO2_ton]] / Tb_prod[[#This Row],[Cantidad_Empleados]]</f>
        <v>6.9241409691629956</v>
      </c>
      <c r="W38" t="str">
        <f>IF(Tb_prod[[#This Row],[Recuperación_Metal_Porcentaje]]&gt;90,"Alta",IF(Tb_prod[[#This Row],[Recuperación_Metal_Porcentaje]]&gt;75,"Media","Baja"))</f>
        <v>Media</v>
      </c>
      <c r="X38" t="str">
        <f>IF(AND(Tb_prod[[#This Row],[Consumo_Energia_MWh]]&lt;=2000,Tb_prod[[#This Row],[Riesgo_Ambiental]]="Alto"),"Crítica","Normal")</f>
        <v>Crítica</v>
      </c>
    </row>
    <row r="39" spans="1:24">
      <c r="A39">
        <v>444</v>
      </c>
      <c r="B39" t="str">
        <f>VLOOKUP(Tb_prod[[#This Row],[Región]],AUX_REGION[],2,0)</f>
        <v>Minera Romero</v>
      </c>
      <c r="C39" t="s">
        <v>21</v>
      </c>
      <c r="D39" t="s">
        <v>23</v>
      </c>
      <c r="E39" t="s">
        <v>14</v>
      </c>
      <c r="F39" t="s">
        <v>24</v>
      </c>
      <c r="G39" t="s">
        <v>20</v>
      </c>
      <c r="H39" s="23">
        <v>5398.11</v>
      </c>
      <c r="I39" s="23">
        <v>2866.4</v>
      </c>
      <c r="J39" s="23">
        <v>32004.9</v>
      </c>
      <c r="K39" s="23">
        <v>557.49</v>
      </c>
      <c r="L39" s="10">
        <v>21505553370</v>
      </c>
      <c r="M39" s="9">
        <v>58925077200</v>
      </c>
      <c r="N39" s="12">
        <f xml:space="preserve"> Tb_prod[[#This Row],[Costo_Mantenimiento_CLP]] / Tb_prod[[#This Row],[Dias_Operación_Mes]]</f>
        <v>768055477.5</v>
      </c>
      <c r="O39" s="11">
        <f>Tb_prod[[#This Row],[Costo_Operativo_CLP]] / Tb_prod[[#This Row],[Producción_Toneladas]]</f>
        <v>10915871.888494307</v>
      </c>
      <c r="P39">
        <v>191</v>
      </c>
      <c r="Q39">
        <v>28</v>
      </c>
      <c r="R39" s="6">
        <v>44946</v>
      </c>
      <c r="S39" t="str">
        <f t="shared" si="0"/>
        <v>viernes</v>
      </c>
      <c r="T39" t="str">
        <f t="shared" si="1"/>
        <v>enero</v>
      </c>
      <c r="U39">
        <v>74.62</v>
      </c>
      <c r="V39">
        <f xml:space="preserve"> Tb_prod[[#This Row],[Emisiones_CO2_ton]] / Tb_prod[[#This Row],[Cantidad_Empleados]]</f>
        <v>2.9187958115183248</v>
      </c>
      <c r="W39" t="str">
        <f>IF(Tb_prod[[#This Row],[Recuperación_Metal_Porcentaje]]&gt;90,"Alta",IF(Tb_prod[[#This Row],[Recuperación_Metal_Porcentaje]]&gt;75,"Media","Baja"))</f>
        <v>Baja</v>
      </c>
      <c r="X39" t="str">
        <f>IF(AND(Tb_prod[[#This Row],[Consumo_Energia_MWh]]&lt;=2000,Tb_prod[[#This Row],[Riesgo_Ambiental]]="Alto"),"Crítica","Normal")</f>
        <v>Normal</v>
      </c>
    </row>
    <row r="40" spans="1:24">
      <c r="A40">
        <v>289</v>
      </c>
      <c r="B40" t="str">
        <f>VLOOKUP(Tb_prod[[#This Row],[Región]],AUX_REGION[],2,0)</f>
        <v>Minera Romero</v>
      </c>
      <c r="C40" t="s">
        <v>21</v>
      </c>
      <c r="D40" t="s">
        <v>23</v>
      </c>
      <c r="E40" t="s">
        <v>19</v>
      </c>
      <c r="F40" t="s">
        <v>15</v>
      </c>
      <c r="G40" t="s">
        <v>20</v>
      </c>
      <c r="H40" s="23">
        <v>2921.62</v>
      </c>
      <c r="I40" s="23">
        <v>2093.83</v>
      </c>
      <c r="J40" s="23">
        <v>32067.84</v>
      </c>
      <c r="K40" s="23">
        <v>1039.95</v>
      </c>
      <c r="L40" s="10">
        <v>12610804230</v>
      </c>
      <c r="M40" s="9">
        <v>4892209000</v>
      </c>
      <c r="N40" s="12">
        <f xml:space="preserve"> Tb_prod[[#This Row],[Costo_Mantenimiento_CLP]] / Tb_prod[[#This Row],[Dias_Operación_Mes]]</f>
        <v>467066823.33333331</v>
      </c>
      <c r="O40" s="11">
        <f>Tb_prod[[#This Row],[Costo_Operativo_CLP]] / Tb_prod[[#This Row],[Producción_Toneladas]]</f>
        <v>1674485.045967648</v>
      </c>
      <c r="P40">
        <v>143</v>
      </c>
      <c r="Q40">
        <v>27</v>
      </c>
      <c r="R40" s="6">
        <v>45220</v>
      </c>
      <c r="S40" t="str">
        <f t="shared" si="0"/>
        <v>sábado</v>
      </c>
      <c r="T40" t="str">
        <f t="shared" si="1"/>
        <v>octubre</v>
      </c>
      <c r="U40">
        <v>89.5</v>
      </c>
      <c r="V40">
        <f xml:space="preserve"> Tb_prod[[#This Row],[Emisiones_CO2_ton]] / Tb_prod[[#This Row],[Cantidad_Empleados]]</f>
        <v>7.2723776223776229</v>
      </c>
      <c r="W40" t="str">
        <f>IF(Tb_prod[[#This Row],[Recuperación_Metal_Porcentaje]]&gt;90,"Alta",IF(Tb_prod[[#This Row],[Recuperación_Metal_Porcentaje]]&gt;75,"Media","Baja"))</f>
        <v>Media</v>
      </c>
      <c r="X40" t="str">
        <f>IF(AND(Tb_prod[[#This Row],[Consumo_Energia_MWh]]&lt;=2000,Tb_prod[[#This Row],[Riesgo_Ambiental]]="Alto"),"Crítica","Normal")</f>
        <v>Normal</v>
      </c>
    </row>
    <row r="41" spans="1:24">
      <c r="A41">
        <v>26</v>
      </c>
      <c r="B41" t="str">
        <f>VLOOKUP(Tb_prod[[#This Row],[Región]],AUX_REGION[],2,0)</f>
        <v>Minera del Norte</v>
      </c>
      <c r="C41" t="s">
        <v>21</v>
      </c>
      <c r="D41" t="s">
        <v>18</v>
      </c>
      <c r="E41" t="s">
        <v>14</v>
      </c>
      <c r="F41" t="s">
        <v>24</v>
      </c>
      <c r="G41" t="s">
        <v>22</v>
      </c>
      <c r="H41" s="23">
        <v>6101.68</v>
      </c>
      <c r="I41" s="23">
        <v>1568.79</v>
      </c>
      <c r="J41" s="23">
        <v>32424.78</v>
      </c>
      <c r="K41" s="23">
        <v>1470.68</v>
      </c>
      <c r="L41" s="10">
        <v>33987986190</v>
      </c>
      <c r="M41" s="9">
        <v>78510785580</v>
      </c>
      <c r="N41" s="12">
        <f xml:space="preserve"> Tb_prod[[#This Row],[Costo_Mantenimiento_CLP]] / Tb_prod[[#This Row],[Dias_Operación_Mes]]</f>
        <v>1544908463.1818182</v>
      </c>
      <c r="O41" s="11">
        <f>Tb_prod[[#This Row],[Costo_Operativo_CLP]] / Tb_prod[[#This Row],[Producción_Toneladas]]</f>
        <v>12867076.867354564</v>
      </c>
      <c r="P41">
        <v>60</v>
      </c>
      <c r="Q41">
        <v>22</v>
      </c>
      <c r="R41" s="6">
        <v>45884</v>
      </c>
      <c r="S41" t="str">
        <f t="shared" si="0"/>
        <v>viernes</v>
      </c>
      <c r="T41" t="str">
        <f t="shared" si="1"/>
        <v>agosto</v>
      </c>
      <c r="U41">
        <v>92.81</v>
      </c>
      <c r="V41">
        <f xml:space="preserve"> Tb_prod[[#This Row],[Emisiones_CO2_ton]] / Tb_prod[[#This Row],[Cantidad_Empleados]]</f>
        <v>24.511333333333333</v>
      </c>
      <c r="W41" t="str">
        <f>IF(Tb_prod[[#This Row],[Recuperación_Metal_Porcentaje]]&gt;90,"Alta",IF(Tb_prod[[#This Row],[Recuperación_Metal_Porcentaje]]&gt;75,"Media","Baja"))</f>
        <v>Alta</v>
      </c>
      <c r="X41" t="str">
        <f>IF(AND(Tb_prod[[#This Row],[Consumo_Energia_MWh]]&lt;=2000,Tb_prod[[#This Row],[Riesgo_Ambiental]]="Alto"),"Crítica","Normal")</f>
        <v>Normal</v>
      </c>
    </row>
    <row r="42" spans="1:24">
      <c r="A42">
        <v>308</v>
      </c>
      <c r="B42" t="str">
        <f>VLOOKUP(Tb_prod[[#This Row],[Región]],AUX_REGION[],2,0)</f>
        <v>Minera Staff</v>
      </c>
      <c r="C42" t="s">
        <v>12</v>
      </c>
      <c r="D42" t="s">
        <v>13</v>
      </c>
      <c r="E42" t="s">
        <v>19</v>
      </c>
      <c r="F42" t="s">
        <v>24</v>
      </c>
      <c r="G42" t="s">
        <v>22</v>
      </c>
      <c r="H42" s="23">
        <v>7319.01</v>
      </c>
      <c r="I42" s="23">
        <v>2470.23</v>
      </c>
      <c r="J42" s="23">
        <v>32426.69</v>
      </c>
      <c r="K42" s="23">
        <v>1173.1099999999999</v>
      </c>
      <c r="L42" s="10">
        <v>23299559010</v>
      </c>
      <c r="M42" s="9">
        <v>178030241010</v>
      </c>
      <c r="N42" s="12">
        <f xml:space="preserve"> Tb_prod[[#This Row],[Costo_Mantenimiento_CLP]] / Tb_prod[[#This Row],[Dias_Operación_Mes]]</f>
        <v>970814958.75</v>
      </c>
      <c r="O42" s="11">
        <f>Tb_prod[[#This Row],[Costo_Operativo_CLP]] / Tb_prod[[#This Row],[Producción_Toneladas]]</f>
        <v>24324360.9463575</v>
      </c>
      <c r="P42">
        <v>102</v>
      </c>
      <c r="Q42">
        <v>24</v>
      </c>
      <c r="R42" s="6">
        <v>45447</v>
      </c>
      <c r="S42" t="str">
        <f t="shared" si="0"/>
        <v>martes</v>
      </c>
      <c r="T42" t="str">
        <f t="shared" si="1"/>
        <v>junio</v>
      </c>
      <c r="U42">
        <v>75.319999999999993</v>
      </c>
      <c r="V42">
        <f xml:space="preserve"> Tb_prod[[#This Row],[Emisiones_CO2_ton]] / Tb_prod[[#This Row],[Cantidad_Empleados]]</f>
        <v>11.501078431372548</v>
      </c>
      <c r="W42" t="str">
        <f>IF(Tb_prod[[#This Row],[Recuperación_Metal_Porcentaje]]&gt;90,"Alta",IF(Tb_prod[[#This Row],[Recuperación_Metal_Porcentaje]]&gt;75,"Media","Baja"))</f>
        <v>Media</v>
      </c>
      <c r="X42" t="str">
        <f>IF(AND(Tb_prod[[#This Row],[Consumo_Energia_MWh]]&lt;=2000,Tb_prod[[#This Row],[Riesgo_Ambiental]]="Alto"),"Crítica","Normal")</f>
        <v>Normal</v>
      </c>
    </row>
    <row r="43" spans="1:24">
      <c r="A43">
        <v>57</v>
      </c>
      <c r="B43" t="str">
        <f>VLOOKUP(Tb_prod[[#This Row],[Región]],AUX_REGION[],2,0)</f>
        <v>Minera Staff</v>
      </c>
      <c r="C43" t="s">
        <v>12</v>
      </c>
      <c r="D43" t="s">
        <v>13</v>
      </c>
      <c r="E43" t="s">
        <v>19</v>
      </c>
      <c r="F43" t="s">
        <v>24</v>
      </c>
      <c r="G43" t="s">
        <v>20</v>
      </c>
      <c r="H43" s="23">
        <v>5217.9399999999996</v>
      </c>
      <c r="I43" s="23">
        <v>2306.17</v>
      </c>
      <c r="J43" s="23">
        <v>32701.759999999998</v>
      </c>
      <c r="K43" s="23">
        <v>435.87</v>
      </c>
      <c r="L43" s="10">
        <v>32595877260</v>
      </c>
      <c r="M43" s="9">
        <v>113427279450</v>
      </c>
      <c r="N43" s="12">
        <f xml:space="preserve"> Tb_prod[[#This Row],[Costo_Mantenimiento_CLP]] / Tb_prod[[#This Row],[Dias_Operación_Mes]]</f>
        <v>1123995767.5862069</v>
      </c>
      <c r="O43" s="11">
        <f>Tb_prod[[#This Row],[Costo_Operativo_CLP]] / Tb_prod[[#This Row],[Producción_Toneladas]]</f>
        <v>21737942.45430189</v>
      </c>
      <c r="P43">
        <v>185</v>
      </c>
      <c r="Q43">
        <v>29</v>
      </c>
      <c r="R43" s="6">
        <v>45496</v>
      </c>
      <c r="S43" t="str">
        <f t="shared" si="0"/>
        <v>martes</v>
      </c>
      <c r="T43" t="str">
        <f t="shared" si="1"/>
        <v>julio</v>
      </c>
      <c r="U43">
        <v>88.04</v>
      </c>
      <c r="V43">
        <f xml:space="preserve"> Tb_prod[[#This Row],[Emisiones_CO2_ton]] / Tb_prod[[#This Row],[Cantidad_Empleados]]</f>
        <v>2.356054054054054</v>
      </c>
      <c r="W43" t="str">
        <f>IF(Tb_prod[[#This Row],[Recuperación_Metal_Porcentaje]]&gt;90,"Alta",IF(Tb_prod[[#This Row],[Recuperación_Metal_Porcentaje]]&gt;75,"Media","Baja"))</f>
        <v>Media</v>
      </c>
      <c r="X43" t="str">
        <f>IF(AND(Tb_prod[[#This Row],[Consumo_Energia_MWh]]&lt;=2000,Tb_prod[[#This Row],[Riesgo_Ambiental]]="Alto"),"Crítica","Normal")</f>
        <v>Normal</v>
      </c>
    </row>
    <row r="44" spans="1:24">
      <c r="A44">
        <v>72</v>
      </c>
      <c r="B44" t="str">
        <f>VLOOKUP(Tb_prod[[#This Row],[Región]],AUX_REGION[],2,0)</f>
        <v>Minera Staff</v>
      </c>
      <c r="C44" t="s">
        <v>17</v>
      </c>
      <c r="D44" t="s">
        <v>13</v>
      </c>
      <c r="E44" t="s">
        <v>14</v>
      </c>
      <c r="F44" t="s">
        <v>26</v>
      </c>
      <c r="G44" t="s">
        <v>20</v>
      </c>
      <c r="H44" s="23">
        <v>5252.71</v>
      </c>
      <c r="I44" s="23">
        <v>1639.05</v>
      </c>
      <c r="J44" s="23">
        <v>32917.15</v>
      </c>
      <c r="K44" s="23">
        <v>1578.27</v>
      </c>
      <c r="L44" s="10">
        <v>25742328120</v>
      </c>
      <c r="M44" s="9">
        <v>147972886650</v>
      </c>
      <c r="N44" s="12">
        <f xml:space="preserve"> Tb_prod[[#This Row],[Costo_Mantenimiento_CLP]] / Tb_prod[[#This Row],[Dias_Operación_Mes]]</f>
        <v>1287116406</v>
      </c>
      <c r="O44" s="11">
        <f>Tb_prod[[#This Row],[Costo_Operativo_CLP]] / Tb_prod[[#This Row],[Producción_Toneladas]]</f>
        <v>28170770.259542216</v>
      </c>
      <c r="P44">
        <v>75</v>
      </c>
      <c r="Q44">
        <v>20</v>
      </c>
      <c r="R44" s="6">
        <v>45419</v>
      </c>
      <c r="S44" t="str">
        <f t="shared" si="0"/>
        <v>martes</v>
      </c>
      <c r="T44" t="str">
        <f t="shared" si="1"/>
        <v>mayo</v>
      </c>
      <c r="U44">
        <v>91.65</v>
      </c>
      <c r="V44">
        <f xml:space="preserve"> Tb_prod[[#This Row],[Emisiones_CO2_ton]] / Tb_prod[[#This Row],[Cantidad_Empleados]]</f>
        <v>21.043600000000001</v>
      </c>
      <c r="W44" t="str">
        <f>IF(Tb_prod[[#This Row],[Recuperación_Metal_Porcentaje]]&gt;90,"Alta",IF(Tb_prod[[#This Row],[Recuperación_Metal_Porcentaje]]&gt;75,"Media","Baja"))</f>
        <v>Alta</v>
      </c>
      <c r="X44" t="str">
        <f>IF(AND(Tb_prod[[#This Row],[Consumo_Energia_MWh]]&lt;=2000,Tb_prod[[#This Row],[Riesgo_Ambiental]]="Alto"),"Crítica","Normal")</f>
        <v>Crítica</v>
      </c>
    </row>
    <row r="45" spans="1:24">
      <c r="A45">
        <v>315</v>
      </c>
      <c r="B45" t="str">
        <f>VLOOKUP(Tb_prod[[#This Row],[Región]],AUX_REGION[],2,0)</f>
        <v>Minera del Norte</v>
      </c>
      <c r="C45" t="s">
        <v>25</v>
      </c>
      <c r="D45" t="s">
        <v>18</v>
      </c>
      <c r="E45" t="s">
        <v>14</v>
      </c>
      <c r="F45" t="s">
        <v>15</v>
      </c>
      <c r="G45" t="s">
        <v>16</v>
      </c>
      <c r="H45" s="23">
        <v>3669.5</v>
      </c>
      <c r="I45" s="23">
        <v>2695.87</v>
      </c>
      <c r="J45" s="23">
        <v>33450.89</v>
      </c>
      <c r="K45" s="23">
        <v>1079.8900000000001</v>
      </c>
      <c r="L45" s="10">
        <v>7674105420</v>
      </c>
      <c r="M45" s="9">
        <v>69709329630</v>
      </c>
      <c r="N45" s="12">
        <f xml:space="preserve"> Tb_prod[[#This Row],[Costo_Mantenimiento_CLP]] / Tb_prod[[#This Row],[Dias_Operación_Mes]]</f>
        <v>306964216.80000001</v>
      </c>
      <c r="O45" s="11">
        <f>Tb_prod[[#This Row],[Costo_Operativo_CLP]] / Tb_prod[[#This Row],[Producción_Toneladas]]</f>
        <v>18996955.887723122</v>
      </c>
      <c r="P45">
        <v>101</v>
      </c>
      <c r="Q45">
        <v>25</v>
      </c>
      <c r="R45" s="6">
        <v>45862</v>
      </c>
      <c r="S45" t="str">
        <f t="shared" si="0"/>
        <v>jueves</v>
      </c>
      <c r="T45" t="str">
        <f t="shared" si="1"/>
        <v>julio</v>
      </c>
      <c r="U45">
        <v>76.8</v>
      </c>
      <c r="V45">
        <f xml:space="preserve"> Tb_prod[[#This Row],[Emisiones_CO2_ton]] / Tb_prod[[#This Row],[Cantidad_Empleados]]</f>
        <v>10.691980198019802</v>
      </c>
      <c r="W45" t="str">
        <f>IF(Tb_prod[[#This Row],[Recuperación_Metal_Porcentaje]]&gt;90,"Alta",IF(Tb_prod[[#This Row],[Recuperación_Metal_Porcentaje]]&gt;75,"Media","Baja"))</f>
        <v>Media</v>
      </c>
      <c r="X45" t="str">
        <f>IF(AND(Tb_prod[[#This Row],[Consumo_Energia_MWh]]&lt;=2000,Tb_prod[[#This Row],[Riesgo_Ambiental]]="Alto"),"Crítica","Normal")</f>
        <v>Normal</v>
      </c>
    </row>
    <row r="46" spans="1:24">
      <c r="A46">
        <v>329</v>
      </c>
      <c r="B46" t="str">
        <f>VLOOKUP(Tb_prod[[#This Row],[Región]],AUX_REGION[],2,0)</f>
        <v>Minera del Norte</v>
      </c>
      <c r="C46" t="s">
        <v>25</v>
      </c>
      <c r="D46" t="s">
        <v>18</v>
      </c>
      <c r="E46" t="s">
        <v>19</v>
      </c>
      <c r="F46" t="s">
        <v>26</v>
      </c>
      <c r="G46" t="s">
        <v>16</v>
      </c>
      <c r="H46" s="23">
        <v>4225.33</v>
      </c>
      <c r="I46" s="23">
        <v>2282</v>
      </c>
      <c r="J46" s="23">
        <v>33517.32</v>
      </c>
      <c r="K46" s="23">
        <v>1046.3800000000001</v>
      </c>
      <c r="L46" s="10">
        <v>35242875000</v>
      </c>
      <c r="M46" s="9">
        <v>67333641570</v>
      </c>
      <c r="N46" s="12">
        <f xml:space="preserve"> Tb_prod[[#This Row],[Costo_Mantenimiento_CLP]] / Tb_prod[[#This Row],[Dias_Operación_Mes]]</f>
        <v>1409715000</v>
      </c>
      <c r="O46" s="11">
        <f>Tb_prod[[#This Row],[Costo_Operativo_CLP]] / Tb_prod[[#This Row],[Producción_Toneladas]]</f>
        <v>15935711.901792286</v>
      </c>
      <c r="P46">
        <v>274</v>
      </c>
      <c r="Q46">
        <v>25</v>
      </c>
      <c r="R46" s="6">
        <v>45560</v>
      </c>
      <c r="S46" t="str">
        <f t="shared" si="0"/>
        <v>miércoles</v>
      </c>
      <c r="T46" t="str">
        <f t="shared" si="1"/>
        <v>septiembre</v>
      </c>
      <c r="U46">
        <v>75.86</v>
      </c>
      <c r="V46">
        <f xml:space="preserve"> Tb_prod[[#This Row],[Emisiones_CO2_ton]] / Tb_prod[[#This Row],[Cantidad_Empleados]]</f>
        <v>3.8189051094890516</v>
      </c>
      <c r="W46" t="str">
        <f>IF(Tb_prod[[#This Row],[Recuperación_Metal_Porcentaje]]&gt;90,"Alta",IF(Tb_prod[[#This Row],[Recuperación_Metal_Porcentaje]]&gt;75,"Media","Baja"))</f>
        <v>Media</v>
      </c>
      <c r="X46" t="str">
        <f>IF(AND(Tb_prod[[#This Row],[Consumo_Energia_MWh]]&lt;=2000,Tb_prod[[#This Row],[Riesgo_Ambiental]]="Alto"),"Crítica","Normal")</f>
        <v>Normal</v>
      </c>
    </row>
    <row r="47" spans="1:24">
      <c r="A47">
        <v>374</v>
      </c>
      <c r="B47" t="str">
        <f>VLOOKUP(Tb_prod[[#This Row],[Región]],AUX_REGION[],2,0)</f>
        <v>Minera Romero</v>
      </c>
      <c r="C47" t="s">
        <v>21</v>
      </c>
      <c r="D47" t="s">
        <v>23</v>
      </c>
      <c r="E47" t="s">
        <v>19</v>
      </c>
      <c r="F47" t="s">
        <v>24</v>
      </c>
      <c r="G47" t="s">
        <v>16</v>
      </c>
      <c r="H47" s="23">
        <v>6151.72</v>
      </c>
      <c r="I47" s="23">
        <v>1876.83</v>
      </c>
      <c r="J47" s="23">
        <v>33800.17</v>
      </c>
      <c r="K47" s="23">
        <v>803.33</v>
      </c>
      <c r="L47" s="10">
        <v>24966875520</v>
      </c>
      <c r="M47" s="9">
        <v>109249004880</v>
      </c>
      <c r="N47" s="12">
        <f xml:space="preserve"> Tb_prod[[#This Row],[Costo_Mantenimiento_CLP]] / Tb_prod[[#This Row],[Dias_Operación_Mes]]</f>
        <v>1248343776</v>
      </c>
      <c r="O47" s="11">
        <f>Tb_prod[[#This Row],[Costo_Operativo_CLP]] / Tb_prod[[#This Row],[Producción_Toneladas]]</f>
        <v>17759099.061725825</v>
      </c>
      <c r="P47">
        <v>137</v>
      </c>
      <c r="Q47">
        <v>20</v>
      </c>
      <c r="R47" s="6">
        <v>45306</v>
      </c>
      <c r="S47" t="str">
        <f t="shared" si="0"/>
        <v>lunes</v>
      </c>
      <c r="T47" t="str">
        <f t="shared" si="1"/>
        <v>enero</v>
      </c>
      <c r="U47">
        <v>83.05</v>
      </c>
      <c r="V47">
        <f xml:space="preserve"> Tb_prod[[#This Row],[Emisiones_CO2_ton]] / Tb_prod[[#This Row],[Cantidad_Empleados]]</f>
        <v>5.8637226277372267</v>
      </c>
      <c r="W47" t="str">
        <f>IF(Tb_prod[[#This Row],[Recuperación_Metal_Porcentaje]]&gt;90,"Alta",IF(Tb_prod[[#This Row],[Recuperación_Metal_Porcentaje]]&gt;75,"Media","Baja"))</f>
        <v>Media</v>
      </c>
      <c r="X47" t="str">
        <f>IF(AND(Tb_prod[[#This Row],[Consumo_Energia_MWh]]&lt;=2000,Tb_prod[[#This Row],[Riesgo_Ambiental]]="Alto"),"Crítica","Normal")</f>
        <v>Normal</v>
      </c>
    </row>
    <row r="48" spans="1:24">
      <c r="A48">
        <v>186</v>
      </c>
      <c r="B48" t="str">
        <f>VLOOKUP(Tb_prod[[#This Row],[Región]],AUX_REGION[],2,0)</f>
        <v>Minera del Norte</v>
      </c>
      <c r="C48" t="s">
        <v>12</v>
      </c>
      <c r="D48" t="s">
        <v>18</v>
      </c>
      <c r="E48" t="s">
        <v>14</v>
      </c>
      <c r="F48" t="s">
        <v>24</v>
      </c>
      <c r="G48" t="s">
        <v>16</v>
      </c>
      <c r="H48" s="23">
        <v>7581.25</v>
      </c>
      <c r="I48" s="23">
        <v>2959.47</v>
      </c>
      <c r="J48" s="23">
        <v>33878.879999999997</v>
      </c>
      <c r="K48" s="23">
        <v>277.8</v>
      </c>
      <c r="L48" s="10">
        <v>1390729228138.8899</v>
      </c>
      <c r="M48" s="9">
        <v>134371561770</v>
      </c>
      <c r="N48" s="12">
        <f xml:space="preserve"> Tb_prod[[#This Row],[Costo_Mantenimiento_CLP]] / Tb_prod[[#This Row],[Dias_Operación_Mes]]</f>
        <v>47956180280.651375</v>
      </c>
      <c r="O48" s="11">
        <f>Tb_prod[[#This Row],[Costo_Operativo_CLP]] / Tb_prod[[#This Row],[Producción_Toneladas]]</f>
        <v>17724196.111459192</v>
      </c>
      <c r="P48">
        <v>74</v>
      </c>
      <c r="Q48">
        <v>29</v>
      </c>
      <c r="R48" s="6">
        <v>45902</v>
      </c>
      <c r="S48" t="str">
        <f t="shared" si="0"/>
        <v>martes</v>
      </c>
      <c r="T48" t="str">
        <f t="shared" si="1"/>
        <v>septiembre</v>
      </c>
      <c r="U48">
        <v>80.930000000000007</v>
      </c>
      <c r="V48">
        <f xml:space="preserve"> Tb_prod[[#This Row],[Emisiones_CO2_ton]] / Tb_prod[[#This Row],[Cantidad_Empleados]]</f>
        <v>3.7540540540540541</v>
      </c>
      <c r="W48" t="str">
        <f>IF(Tb_prod[[#This Row],[Recuperación_Metal_Porcentaje]]&gt;90,"Alta",IF(Tb_prod[[#This Row],[Recuperación_Metal_Porcentaje]]&gt;75,"Media","Baja"))</f>
        <v>Media</v>
      </c>
      <c r="X48" t="str">
        <f>IF(AND(Tb_prod[[#This Row],[Consumo_Energia_MWh]]&lt;=2000,Tb_prod[[#This Row],[Riesgo_Ambiental]]="Alto"),"Crítica","Normal")</f>
        <v>Normal</v>
      </c>
    </row>
    <row r="49" spans="1:24">
      <c r="A49">
        <v>486</v>
      </c>
      <c r="B49" t="str">
        <f>VLOOKUP(Tb_prod[[#This Row],[Región]],AUX_REGION[],2,0)</f>
        <v>Minera Romero</v>
      </c>
      <c r="C49" t="s">
        <v>21</v>
      </c>
      <c r="D49" t="s">
        <v>23</v>
      </c>
      <c r="E49" t="s">
        <v>19</v>
      </c>
      <c r="F49" t="s">
        <v>26</v>
      </c>
      <c r="G49" t="s">
        <v>20</v>
      </c>
      <c r="H49" s="23">
        <v>4677.6000000000004</v>
      </c>
      <c r="I49" s="23">
        <v>1589.29</v>
      </c>
      <c r="J49" s="23">
        <v>33941.519999999997</v>
      </c>
      <c r="K49" s="23">
        <v>1065.7</v>
      </c>
      <c r="L49" s="10">
        <v>12114185850</v>
      </c>
      <c r="M49" s="9">
        <v>107887084920</v>
      </c>
      <c r="N49" s="12">
        <f xml:space="preserve"> Tb_prod[[#This Row],[Costo_Mantenimiento_CLP]] / Tb_prod[[#This Row],[Dias_Operación_Mes]]</f>
        <v>403806195</v>
      </c>
      <c r="O49" s="11">
        <f>Tb_prod[[#This Row],[Costo_Operativo_CLP]] / Tb_prod[[#This Row],[Producción_Toneladas]]</f>
        <v>23064623.935351461</v>
      </c>
      <c r="P49">
        <v>232</v>
      </c>
      <c r="Q49">
        <v>30</v>
      </c>
      <c r="R49" s="6">
        <v>45598</v>
      </c>
      <c r="S49" t="str">
        <f t="shared" si="0"/>
        <v>sábado</v>
      </c>
      <c r="T49" t="str">
        <f t="shared" si="1"/>
        <v>noviembre</v>
      </c>
      <c r="U49">
        <v>87.6</v>
      </c>
      <c r="V49">
        <f xml:space="preserve"> Tb_prod[[#This Row],[Emisiones_CO2_ton]] / Tb_prod[[#This Row],[Cantidad_Empleados]]</f>
        <v>4.5935344827586206</v>
      </c>
      <c r="W49" t="str">
        <f>IF(Tb_prod[[#This Row],[Recuperación_Metal_Porcentaje]]&gt;90,"Alta",IF(Tb_prod[[#This Row],[Recuperación_Metal_Porcentaje]]&gt;75,"Media","Baja"))</f>
        <v>Media</v>
      </c>
      <c r="X49" t="str">
        <f>IF(AND(Tb_prod[[#This Row],[Consumo_Energia_MWh]]&lt;=2000,Tb_prod[[#This Row],[Riesgo_Ambiental]]="Alto"),"Crítica","Normal")</f>
        <v>Crítica</v>
      </c>
    </row>
    <row r="50" spans="1:24">
      <c r="A50">
        <v>110</v>
      </c>
      <c r="B50" t="str">
        <f>VLOOKUP(Tb_prod[[#This Row],[Región]],AUX_REGION[],2,0)</f>
        <v>Minera Romero</v>
      </c>
      <c r="C50" t="s">
        <v>21</v>
      </c>
      <c r="D50" t="s">
        <v>23</v>
      </c>
      <c r="E50" t="s">
        <v>19</v>
      </c>
      <c r="F50" t="s">
        <v>26</v>
      </c>
      <c r="G50" t="s">
        <v>16</v>
      </c>
      <c r="H50" s="23">
        <v>4718.63</v>
      </c>
      <c r="I50" s="23">
        <v>1738.91</v>
      </c>
      <c r="J50" s="23">
        <v>34238.129999999997</v>
      </c>
      <c r="K50" s="23">
        <v>1198.43</v>
      </c>
      <c r="L50" s="10">
        <v>7889980680</v>
      </c>
      <c r="M50" s="9">
        <v>146121671250</v>
      </c>
      <c r="N50" s="12">
        <f xml:space="preserve"> Tb_prod[[#This Row],[Costo_Mantenimiento_CLP]] / Tb_prod[[#This Row],[Dias_Operación_Mes]]</f>
        <v>272068299.31034482</v>
      </c>
      <c r="O50" s="11">
        <f>Tb_prod[[#This Row],[Costo_Operativo_CLP]] / Tb_prod[[#This Row],[Producción_Toneladas]]</f>
        <v>30966969.491144676</v>
      </c>
      <c r="P50">
        <v>272</v>
      </c>
      <c r="Q50">
        <v>29</v>
      </c>
      <c r="R50" s="6">
        <v>45133</v>
      </c>
      <c r="S50" t="str">
        <f t="shared" si="0"/>
        <v>miércoles</v>
      </c>
      <c r="T50" t="str">
        <f t="shared" si="1"/>
        <v>julio</v>
      </c>
      <c r="U50">
        <v>96.06</v>
      </c>
      <c r="V50">
        <f xml:space="preserve"> Tb_prod[[#This Row],[Emisiones_CO2_ton]] / Tb_prod[[#This Row],[Cantidad_Empleados]]</f>
        <v>4.4059926470588238</v>
      </c>
      <c r="W50" t="str">
        <f>IF(Tb_prod[[#This Row],[Recuperación_Metal_Porcentaje]]&gt;90,"Alta",IF(Tb_prod[[#This Row],[Recuperación_Metal_Porcentaje]]&gt;75,"Media","Baja"))</f>
        <v>Alta</v>
      </c>
      <c r="X50" t="str">
        <f>IF(AND(Tb_prod[[#This Row],[Consumo_Energia_MWh]]&lt;=2000,Tb_prod[[#This Row],[Riesgo_Ambiental]]="Alto"),"Crítica","Normal")</f>
        <v>Normal</v>
      </c>
    </row>
    <row r="51" spans="1:24">
      <c r="A51">
        <v>269</v>
      </c>
      <c r="B51" t="str">
        <f>VLOOKUP(Tb_prod[[#This Row],[Región]],AUX_REGION[],2,0)</f>
        <v>Minera Staff</v>
      </c>
      <c r="C51" t="s">
        <v>17</v>
      </c>
      <c r="D51" t="s">
        <v>13</v>
      </c>
      <c r="E51" t="s">
        <v>14</v>
      </c>
      <c r="F51" t="s">
        <v>15</v>
      </c>
      <c r="G51" t="s">
        <v>22</v>
      </c>
      <c r="H51" s="23">
        <v>6310.67</v>
      </c>
      <c r="I51" s="23">
        <v>2273.41</v>
      </c>
      <c r="J51" s="23">
        <v>34284.36</v>
      </c>
      <c r="K51" s="23">
        <v>799.18</v>
      </c>
      <c r="L51" s="10">
        <v>131360136797456</v>
      </c>
      <c r="M51" s="9">
        <v>169142398200</v>
      </c>
      <c r="N51" s="12">
        <f xml:space="preserve"> Tb_prod[[#This Row],[Costo_Mantenimiento_CLP]] / Tb_prod[[#This Row],[Dias_Operación_Mes]]</f>
        <v>4529659889567.4482</v>
      </c>
      <c r="O51" s="11">
        <f>Tb_prod[[#This Row],[Costo_Operativo_CLP]] / Tb_prod[[#This Row],[Producción_Toneladas]]</f>
        <v>26802605.460276008</v>
      </c>
      <c r="P51">
        <v>62</v>
      </c>
      <c r="Q51">
        <v>29</v>
      </c>
      <c r="R51" s="6">
        <v>45711</v>
      </c>
      <c r="S51" t="str">
        <f t="shared" si="0"/>
        <v>domingo</v>
      </c>
      <c r="T51" t="str">
        <f t="shared" si="1"/>
        <v>febrero</v>
      </c>
      <c r="U51">
        <v>87.05</v>
      </c>
      <c r="V51">
        <f xml:space="preserve"> Tb_prod[[#This Row],[Emisiones_CO2_ton]] / Tb_prod[[#This Row],[Cantidad_Empleados]]</f>
        <v>12.889999999999999</v>
      </c>
      <c r="W51" t="str">
        <f>IF(Tb_prod[[#This Row],[Recuperación_Metal_Porcentaje]]&gt;90,"Alta",IF(Tb_prod[[#This Row],[Recuperación_Metal_Porcentaje]]&gt;75,"Media","Baja"))</f>
        <v>Media</v>
      </c>
      <c r="X51" t="str">
        <f>IF(AND(Tb_prod[[#This Row],[Consumo_Energia_MWh]]&lt;=2000,Tb_prod[[#This Row],[Riesgo_Ambiental]]="Alto"),"Crítica","Normal")</f>
        <v>Normal</v>
      </c>
    </row>
    <row r="52" spans="1:24">
      <c r="A52">
        <v>407</v>
      </c>
      <c r="B52" t="str">
        <f>VLOOKUP(Tb_prod[[#This Row],[Región]],AUX_REGION[],2,0)</f>
        <v>Minera del Norte</v>
      </c>
      <c r="C52" t="s">
        <v>27</v>
      </c>
      <c r="D52" t="s">
        <v>18</v>
      </c>
      <c r="E52" t="s">
        <v>14</v>
      </c>
      <c r="F52" t="s">
        <v>24</v>
      </c>
      <c r="G52" t="s">
        <v>16</v>
      </c>
      <c r="H52" s="23">
        <v>6374.94</v>
      </c>
      <c r="I52" s="23">
        <v>1698.74</v>
      </c>
      <c r="J52" s="23">
        <v>34488.17</v>
      </c>
      <c r="K52" s="23">
        <v>1280.6199999999999</v>
      </c>
      <c r="L52" s="10">
        <v>10389915630</v>
      </c>
      <c r="M52" s="9">
        <v>9379799190</v>
      </c>
      <c r="N52" s="12">
        <f xml:space="preserve"> Tb_prod[[#This Row],[Costo_Mantenimiento_CLP]] / Tb_prod[[#This Row],[Dias_Operación_Mes]]</f>
        <v>358272952.75862068</v>
      </c>
      <c r="O52" s="11">
        <f>Tb_prod[[#This Row],[Costo_Operativo_CLP]] / Tb_prod[[#This Row],[Producción_Toneladas]]</f>
        <v>1471354.8974578585</v>
      </c>
      <c r="P52">
        <v>258</v>
      </c>
      <c r="Q52">
        <v>29</v>
      </c>
      <c r="R52" s="6">
        <v>45589</v>
      </c>
      <c r="S52" t="str">
        <f t="shared" si="0"/>
        <v>jueves</v>
      </c>
      <c r="T52" t="str">
        <f t="shared" si="1"/>
        <v>octubre</v>
      </c>
      <c r="U52">
        <v>97.7</v>
      </c>
      <c r="V52">
        <f xml:space="preserve"> Tb_prod[[#This Row],[Emisiones_CO2_ton]] / Tb_prod[[#This Row],[Cantidad_Empleados]]</f>
        <v>4.963643410852713</v>
      </c>
      <c r="W52" t="str">
        <f>IF(Tb_prod[[#This Row],[Recuperación_Metal_Porcentaje]]&gt;90,"Alta",IF(Tb_prod[[#This Row],[Recuperación_Metal_Porcentaje]]&gt;75,"Media","Baja"))</f>
        <v>Alta</v>
      </c>
      <c r="X52" t="str">
        <f>IF(AND(Tb_prod[[#This Row],[Consumo_Energia_MWh]]&lt;=2000,Tb_prod[[#This Row],[Riesgo_Ambiental]]="Alto"),"Crítica","Normal")</f>
        <v>Normal</v>
      </c>
    </row>
    <row r="53" spans="1:24">
      <c r="A53">
        <v>317</v>
      </c>
      <c r="B53" t="str">
        <f>VLOOKUP(Tb_prod[[#This Row],[Región]],AUX_REGION[],2,0)</f>
        <v>Minera Staff</v>
      </c>
      <c r="C53" t="s">
        <v>21</v>
      </c>
      <c r="D53" t="s">
        <v>13</v>
      </c>
      <c r="E53" t="s">
        <v>14</v>
      </c>
      <c r="F53" t="s">
        <v>15</v>
      </c>
      <c r="G53" t="s">
        <v>20</v>
      </c>
      <c r="H53" s="23">
        <v>8284.6299999999992</v>
      </c>
      <c r="I53" s="23">
        <v>2325.48</v>
      </c>
      <c r="J53" s="23">
        <v>34538.6</v>
      </c>
      <c r="K53" s="23">
        <v>1399.53</v>
      </c>
      <c r="L53" s="10">
        <v>8874630450</v>
      </c>
      <c r="M53" s="9">
        <v>90097149240</v>
      </c>
      <c r="N53" s="12">
        <f xml:space="preserve"> Tb_prod[[#This Row],[Costo_Mantenimiento_CLP]] / Tb_prod[[#This Row],[Dias_Operación_Mes]]</f>
        <v>422601450</v>
      </c>
      <c r="O53" s="11">
        <f>Tb_prod[[#This Row],[Costo_Operativo_CLP]] / Tb_prod[[#This Row],[Producción_Toneladas]]</f>
        <v>10875217.027193733</v>
      </c>
      <c r="P53">
        <v>231</v>
      </c>
      <c r="Q53">
        <v>21</v>
      </c>
      <c r="R53" s="6">
        <v>45184</v>
      </c>
      <c r="S53" t="str">
        <f t="shared" si="0"/>
        <v>viernes</v>
      </c>
      <c r="T53" t="str">
        <f t="shared" si="1"/>
        <v>septiembre</v>
      </c>
      <c r="U53">
        <v>73.59</v>
      </c>
      <c r="V53">
        <f xml:space="preserve"> Tb_prod[[#This Row],[Emisiones_CO2_ton]] / Tb_prod[[#This Row],[Cantidad_Empleados]]</f>
        <v>6.0585714285714287</v>
      </c>
      <c r="W53" t="str">
        <f>IF(Tb_prod[[#This Row],[Recuperación_Metal_Porcentaje]]&gt;90,"Alta",IF(Tb_prod[[#This Row],[Recuperación_Metal_Porcentaje]]&gt;75,"Media","Baja"))</f>
        <v>Baja</v>
      </c>
      <c r="X53" t="str">
        <f>IF(AND(Tb_prod[[#This Row],[Consumo_Energia_MWh]]&lt;=2000,Tb_prod[[#This Row],[Riesgo_Ambiental]]="Alto"),"Crítica","Normal")</f>
        <v>Normal</v>
      </c>
    </row>
    <row r="54" spans="1:24">
      <c r="A54">
        <v>118</v>
      </c>
      <c r="B54" t="str">
        <f>VLOOKUP(Tb_prod[[#This Row],[Región]],AUX_REGION[],2,0)</f>
        <v>Minera del Norte</v>
      </c>
      <c r="C54" t="s">
        <v>21</v>
      </c>
      <c r="D54" t="s">
        <v>18</v>
      </c>
      <c r="E54" t="s">
        <v>19</v>
      </c>
      <c r="F54" t="s">
        <v>26</v>
      </c>
      <c r="G54" t="s">
        <v>22</v>
      </c>
      <c r="H54" s="23">
        <v>5053.84</v>
      </c>
      <c r="I54" s="23">
        <v>2319.81</v>
      </c>
      <c r="J54" s="23">
        <v>34669.57</v>
      </c>
      <c r="K54" s="23">
        <v>1113.5999999999999</v>
      </c>
      <c r="L54" s="10">
        <v>12726255690</v>
      </c>
      <c r="M54" s="9">
        <v>134206180740</v>
      </c>
      <c r="N54" s="12">
        <f xml:space="preserve"> Tb_prod[[#This Row],[Costo_Mantenimiento_CLP]] / Tb_prod[[#This Row],[Dias_Operación_Mes]]</f>
        <v>636312784.5</v>
      </c>
      <c r="O54" s="11">
        <f>Tb_prod[[#This Row],[Costo_Operativo_CLP]] / Tb_prod[[#This Row],[Producción_Toneladas]]</f>
        <v>26555288.798220757</v>
      </c>
      <c r="P54">
        <v>275</v>
      </c>
      <c r="Q54">
        <v>20</v>
      </c>
      <c r="R54" s="6">
        <v>45411</v>
      </c>
      <c r="S54" t="str">
        <f t="shared" si="0"/>
        <v>lunes</v>
      </c>
      <c r="T54" t="str">
        <f t="shared" si="1"/>
        <v>abril</v>
      </c>
      <c r="U54">
        <v>83.58</v>
      </c>
      <c r="V54">
        <f xml:space="preserve"> Tb_prod[[#This Row],[Emisiones_CO2_ton]] / Tb_prod[[#This Row],[Cantidad_Empleados]]</f>
        <v>4.0494545454545454</v>
      </c>
      <c r="W54" t="str">
        <f>IF(Tb_prod[[#This Row],[Recuperación_Metal_Porcentaje]]&gt;90,"Alta",IF(Tb_prod[[#This Row],[Recuperación_Metal_Porcentaje]]&gt;75,"Media","Baja"))</f>
        <v>Media</v>
      </c>
      <c r="X54" t="str">
        <f>IF(AND(Tb_prod[[#This Row],[Consumo_Energia_MWh]]&lt;=2000,Tb_prod[[#This Row],[Riesgo_Ambiental]]="Alto"),"Crítica","Normal")</f>
        <v>Normal</v>
      </c>
    </row>
    <row r="55" spans="1:24">
      <c r="A55">
        <v>461</v>
      </c>
      <c r="B55" t="str">
        <f>VLOOKUP(Tb_prod[[#This Row],[Región]],AUX_REGION[],2,0)</f>
        <v>Minera Staff</v>
      </c>
      <c r="C55" t="s">
        <v>27</v>
      </c>
      <c r="D55" t="s">
        <v>13</v>
      </c>
      <c r="E55" t="s">
        <v>19</v>
      </c>
      <c r="F55" t="s">
        <v>15</v>
      </c>
      <c r="G55" t="s">
        <v>22</v>
      </c>
      <c r="H55" s="23">
        <v>3404.9</v>
      </c>
      <c r="I55" s="23">
        <v>2232.9499999999998</v>
      </c>
      <c r="J55" s="23">
        <v>34731.26</v>
      </c>
      <c r="K55" s="23">
        <v>1210.55</v>
      </c>
      <c r="L55" s="10">
        <v>5690146320</v>
      </c>
      <c r="M55" s="9">
        <v>76368831480</v>
      </c>
      <c r="N55" s="12">
        <f xml:space="preserve"> Tb_prod[[#This Row],[Costo_Mantenimiento_CLP]] / Tb_prod[[#This Row],[Dias_Operación_Mes]]</f>
        <v>210746160</v>
      </c>
      <c r="O55" s="11">
        <f>Tb_prod[[#This Row],[Costo_Operativo_CLP]] / Tb_prod[[#This Row],[Producción_Toneladas]]</f>
        <v>22429096.737055421</v>
      </c>
      <c r="P55">
        <v>201</v>
      </c>
      <c r="Q55">
        <v>27</v>
      </c>
      <c r="R55" s="6">
        <v>45371</v>
      </c>
      <c r="S55" t="str">
        <f t="shared" si="0"/>
        <v>miércoles</v>
      </c>
      <c r="T55" t="str">
        <f t="shared" si="1"/>
        <v>marzo</v>
      </c>
      <c r="U55">
        <v>79.5</v>
      </c>
      <c r="V55">
        <f xml:space="preserve"> Tb_prod[[#This Row],[Emisiones_CO2_ton]] / Tb_prod[[#This Row],[Cantidad_Empleados]]</f>
        <v>6.0226368159203973</v>
      </c>
      <c r="W55" t="str">
        <f>IF(Tb_prod[[#This Row],[Recuperación_Metal_Porcentaje]]&gt;90,"Alta",IF(Tb_prod[[#This Row],[Recuperación_Metal_Porcentaje]]&gt;75,"Media","Baja"))</f>
        <v>Media</v>
      </c>
      <c r="X55" t="str">
        <f>IF(AND(Tb_prod[[#This Row],[Consumo_Energia_MWh]]&lt;=2000,Tb_prod[[#This Row],[Riesgo_Ambiental]]="Alto"),"Crítica","Normal")</f>
        <v>Normal</v>
      </c>
    </row>
    <row r="56" spans="1:24">
      <c r="A56">
        <v>442</v>
      </c>
      <c r="B56" t="str">
        <f>VLOOKUP(Tb_prod[[#This Row],[Región]],AUX_REGION[],2,0)</f>
        <v>Minera Staff</v>
      </c>
      <c r="C56" t="s">
        <v>17</v>
      </c>
      <c r="D56" t="s">
        <v>13</v>
      </c>
      <c r="E56" t="s">
        <v>19</v>
      </c>
      <c r="F56" t="s">
        <v>15</v>
      </c>
      <c r="G56" t="s">
        <v>16</v>
      </c>
      <c r="H56" s="23">
        <v>3377.87</v>
      </c>
      <c r="I56" s="23">
        <v>1884.61</v>
      </c>
      <c r="J56" s="23">
        <v>34811.449999999997</v>
      </c>
      <c r="K56" s="23">
        <v>1197.92</v>
      </c>
      <c r="L56" s="10">
        <v>27915864930</v>
      </c>
      <c r="M56" s="9">
        <v>151893693810</v>
      </c>
      <c r="N56" s="12">
        <f xml:space="preserve"> Tb_prod[[#This Row],[Costo_Mantenimiento_CLP]] / Tb_prod[[#This Row],[Dias_Operación_Mes]]</f>
        <v>996995176.07142854</v>
      </c>
      <c r="O56" s="11">
        <f>Tb_prod[[#This Row],[Costo_Operativo_CLP]] / Tb_prod[[#This Row],[Producción_Toneladas]]</f>
        <v>44967300.047071084</v>
      </c>
      <c r="P56">
        <v>265</v>
      </c>
      <c r="Q56">
        <v>28</v>
      </c>
      <c r="R56" s="6">
        <v>45659</v>
      </c>
      <c r="S56" t="str">
        <f t="shared" si="0"/>
        <v>jueves</v>
      </c>
      <c r="T56" t="str">
        <f t="shared" si="1"/>
        <v>enero</v>
      </c>
      <c r="U56">
        <v>81.13</v>
      </c>
      <c r="V56">
        <f xml:space="preserve"> Tb_prod[[#This Row],[Emisiones_CO2_ton]] / Tb_prod[[#This Row],[Cantidad_Empleados]]</f>
        <v>4.5204528301886793</v>
      </c>
      <c r="W56" t="str">
        <f>IF(Tb_prod[[#This Row],[Recuperación_Metal_Porcentaje]]&gt;90,"Alta",IF(Tb_prod[[#This Row],[Recuperación_Metal_Porcentaje]]&gt;75,"Media","Baja"))</f>
        <v>Media</v>
      </c>
      <c r="X56" t="str">
        <f>IF(AND(Tb_prod[[#This Row],[Consumo_Energia_MWh]]&lt;=2000,Tb_prod[[#This Row],[Riesgo_Ambiental]]="Alto"),"Crítica","Normal")</f>
        <v>Normal</v>
      </c>
    </row>
    <row r="57" spans="1:24">
      <c r="A57">
        <v>156</v>
      </c>
      <c r="B57" t="str">
        <f>VLOOKUP(Tb_prod[[#This Row],[Región]],AUX_REGION[],2,0)</f>
        <v>Minera Staff</v>
      </c>
      <c r="C57" t="s">
        <v>27</v>
      </c>
      <c r="D57" t="s">
        <v>13</v>
      </c>
      <c r="E57" t="s">
        <v>19</v>
      </c>
      <c r="F57" t="s">
        <v>15</v>
      </c>
      <c r="G57" t="s">
        <v>16</v>
      </c>
      <c r="H57" s="23">
        <v>7770.21</v>
      </c>
      <c r="I57" s="23">
        <v>1929.56</v>
      </c>
      <c r="J57" s="23">
        <v>34826.9</v>
      </c>
      <c r="K57" s="23">
        <v>1462.24</v>
      </c>
      <c r="L57" s="10">
        <v>29045801610</v>
      </c>
      <c r="M57" s="9">
        <v>28850354280</v>
      </c>
      <c r="N57" s="12">
        <f xml:space="preserve"> Tb_prod[[#This Row],[Costo_Mantenimiento_CLP]] / Tb_prod[[#This Row],[Dias_Operación_Mes]]</f>
        <v>1117146215.7692308</v>
      </c>
      <c r="O57" s="11">
        <f>Tb_prod[[#This Row],[Costo_Operativo_CLP]] / Tb_prod[[#This Row],[Producción_Toneladas]]</f>
        <v>3712943.9590435778</v>
      </c>
      <c r="P57">
        <v>298</v>
      </c>
      <c r="Q57">
        <v>26</v>
      </c>
      <c r="R57" s="6">
        <v>45397</v>
      </c>
      <c r="S57" t="str">
        <f t="shared" si="0"/>
        <v>lunes</v>
      </c>
      <c r="T57" t="str">
        <f t="shared" si="1"/>
        <v>abril</v>
      </c>
      <c r="U57">
        <v>98.94</v>
      </c>
      <c r="V57">
        <f xml:space="preserve"> Tb_prod[[#This Row],[Emisiones_CO2_ton]] / Tb_prod[[#This Row],[Cantidad_Empleados]]</f>
        <v>4.9068456375838929</v>
      </c>
      <c r="W57" t="str">
        <f>IF(Tb_prod[[#This Row],[Recuperación_Metal_Porcentaje]]&gt;90,"Alta",IF(Tb_prod[[#This Row],[Recuperación_Metal_Porcentaje]]&gt;75,"Media","Baja"))</f>
        <v>Alta</v>
      </c>
      <c r="X57" t="str">
        <f>IF(AND(Tb_prod[[#This Row],[Consumo_Energia_MWh]]&lt;=2000,Tb_prod[[#This Row],[Riesgo_Ambiental]]="Alto"),"Crítica","Normal")</f>
        <v>Normal</v>
      </c>
    </row>
    <row r="58" spans="1:24">
      <c r="A58">
        <v>50</v>
      </c>
      <c r="B58" t="str">
        <f>VLOOKUP(Tb_prod[[#This Row],[Región]],AUX_REGION[],2,0)</f>
        <v>Minera Romero</v>
      </c>
      <c r="C58" t="s">
        <v>12</v>
      </c>
      <c r="D58" t="s">
        <v>23</v>
      </c>
      <c r="E58" t="s">
        <v>19</v>
      </c>
      <c r="F58" t="s">
        <v>15</v>
      </c>
      <c r="G58" t="s">
        <v>16</v>
      </c>
      <c r="H58" s="23">
        <v>6519.97</v>
      </c>
      <c r="I58" s="23">
        <v>2425.6799999999998</v>
      </c>
      <c r="J58" s="23">
        <v>34959.31</v>
      </c>
      <c r="K58" s="23">
        <v>862.08</v>
      </c>
      <c r="L58" s="10">
        <v>6948199080</v>
      </c>
      <c r="M58" s="9">
        <v>65543474160</v>
      </c>
      <c r="N58" s="12">
        <f xml:space="preserve"> Tb_prod[[#This Row],[Costo_Mantenimiento_CLP]] / Tb_prod[[#This Row],[Dias_Operación_Mes]]</f>
        <v>315827230.90909094</v>
      </c>
      <c r="O58" s="11">
        <f>Tb_prod[[#This Row],[Costo_Operativo_CLP]] / Tb_prod[[#This Row],[Producción_Toneladas]]</f>
        <v>10052726.340765372</v>
      </c>
      <c r="P58">
        <v>285</v>
      </c>
      <c r="Q58">
        <v>22</v>
      </c>
      <c r="R58" s="6">
        <v>45948</v>
      </c>
      <c r="S58" t="str">
        <f t="shared" si="0"/>
        <v>sábado</v>
      </c>
      <c r="T58" t="str">
        <f t="shared" si="1"/>
        <v>octubre</v>
      </c>
      <c r="U58">
        <v>88.18</v>
      </c>
      <c r="V58">
        <f xml:space="preserve"> Tb_prod[[#This Row],[Emisiones_CO2_ton]] / Tb_prod[[#This Row],[Cantidad_Empleados]]</f>
        <v>3.0248421052631582</v>
      </c>
      <c r="W58" t="str">
        <f>IF(Tb_prod[[#This Row],[Recuperación_Metal_Porcentaje]]&gt;90,"Alta",IF(Tb_prod[[#This Row],[Recuperación_Metal_Porcentaje]]&gt;75,"Media","Baja"))</f>
        <v>Media</v>
      </c>
      <c r="X58" t="str">
        <f>IF(AND(Tb_prod[[#This Row],[Consumo_Energia_MWh]]&lt;=2000,Tb_prod[[#This Row],[Riesgo_Ambiental]]="Alto"),"Crítica","Normal")</f>
        <v>Normal</v>
      </c>
    </row>
    <row r="59" spans="1:24">
      <c r="A59">
        <v>464</v>
      </c>
      <c r="B59" t="str">
        <f>VLOOKUP(Tb_prod[[#This Row],[Región]],AUX_REGION[],2,0)</f>
        <v>Minera del Norte</v>
      </c>
      <c r="C59" t="s">
        <v>25</v>
      </c>
      <c r="D59" t="s">
        <v>18</v>
      </c>
      <c r="E59" t="s">
        <v>19</v>
      </c>
      <c r="F59" t="s">
        <v>15</v>
      </c>
      <c r="G59" t="s">
        <v>16</v>
      </c>
      <c r="H59" s="23">
        <v>3215.08</v>
      </c>
      <c r="I59" s="23">
        <v>2297.13</v>
      </c>
      <c r="J59" s="23">
        <v>35137.24</v>
      </c>
      <c r="K59" s="23">
        <v>1001.75</v>
      </c>
      <c r="L59" s="10">
        <v>30951248670</v>
      </c>
      <c r="M59" s="9">
        <v>59090172120</v>
      </c>
      <c r="N59" s="12">
        <f xml:space="preserve"> Tb_prod[[#This Row],[Costo_Mantenimiento_CLP]] / Tb_prod[[#This Row],[Dias_Operación_Mes]]</f>
        <v>1289635361.25</v>
      </c>
      <c r="O59" s="11">
        <f>Tb_prod[[#This Row],[Costo_Operativo_CLP]] / Tb_prod[[#This Row],[Producción_Toneladas]]</f>
        <v>18379067.432225637</v>
      </c>
      <c r="P59">
        <v>235</v>
      </c>
      <c r="Q59">
        <v>24</v>
      </c>
      <c r="R59" s="6">
        <v>45017</v>
      </c>
      <c r="S59" t="str">
        <f t="shared" si="0"/>
        <v>sábado</v>
      </c>
      <c r="T59" t="str">
        <f t="shared" si="1"/>
        <v>abril</v>
      </c>
      <c r="U59">
        <v>71.08</v>
      </c>
      <c r="V59">
        <f xml:space="preserve"> Tb_prod[[#This Row],[Emisiones_CO2_ton]] / Tb_prod[[#This Row],[Cantidad_Empleados]]</f>
        <v>4.2627659574468089</v>
      </c>
      <c r="W59" t="str">
        <f>IF(Tb_prod[[#This Row],[Recuperación_Metal_Porcentaje]]&gt;90,"Alta",IF(Tb_prod[[#This Row],[Recuperación_Metal_Porcentaje]]&gt;75,"Media","Baja"))</f>
        <v>Baja</v>
      </c>
      <c r="X59" t="str">
        <f>IF(AND(Tb_prod[[#This Row],[Consumo_Energia_MWh]]&lt;=2000,Tb_prod[[#This Row],[Riesgo_Ambiental]]="Alto"),"Crítica","Normal")</f>
        <v>Normal</v>
      </c>
    </row>
    <row r="60" spans="1:24">
      <c r="A60">
        <v>42</v>
      </c>
      <c r="B60" t="str">
        <f>VLOOKUP(Tb_prod[[#This Row],[Región]],AUX_REGION[],2,0)</f>
        <v>Minera Staff</v>
      </c>
      <c r="C60" t="s">
        <v>27</v>
      </c>
      <c r="D60" t="s">
        <v>13</v>
      </c>
      <c r="E60" t="s">
        <v>14</v>
      </c>
      <c r="F60" t="s">
        <v>26</v>
      </c>
      <c r="G60" t="s">
        <v>22</v>
      </c>
      <c r="H60" s="23">
        <v>4004.56</v>
      </c>
      <c r="I60" s="23">
        <v>2260.38</v>
      </c>
      <c r="J60" s="23">
        <v>35260.129999999997</v>
      </c>
      <c r="K60" s="23">
        <v>1161.6400000000001</v>
      </c>
      <c r="L60" s="10">
        <v>37656708390</v>
      </c>
      <c r="M60" s="9">
        <v>60592314330</v>
      </c>
      <c r="N60" s="12">
        <f xml:space="preserve"> Tb_prod[[#This Row],[Costo_Mantenimiento_CLP]] / Tb_prod[[#This Row],[Dias_Operación_Mes]]</f>
        <v>1255223613</v>
      </c>
      <c r="O60" s="11">
        <f>Tb_prod[[#This Row],[Costo_Operativo_CLP]] / Tb_prod[[#This Row],[Producción_Toneladas]]</f>
        <v>15130829.436941886</v>
      </c>
      <c r="P60">
        <v>133</v>
      </c>
      <c r="Q60">
        <v>30</v>
      </c>
      <c r="R60" s="6">
        <v>45824</v>
      </c>
      <c r="S60" t="str">
        <f t="shared" si="0"/>
        <v>lunes</v>
      </c>
      <c r="T60" t="str">
        <f t="shared" si="1"/>
        <v>junio</v>
      </c>
      <c r="U60">
        <v>80</v>
      </c>
      <c r="V60">
        <f xml:space="preserve"> Tb_prod[[#This Row],[Emisiones_CO2_ton]] / Tb_prod[[#This Row],[Cantidad_Empleados]]</f>
        <v>8.7341353383458653</v>
      </c>
      <c r="W60" t="str">
        <f>IF(Tb_prod[[#This Row],[Recuperación_Metal_Porcentaje]]&gt;90,"Alta",IF(Tb_prod[[#This Row],[Recuperación_Metal_Porcentaje]]&gt;75,"Media","Baja"))</f>
        <v>Media</v>
      </c>
      <c r="X60" t="str">
        <f>IF(AND(Tb_prod[[#This Row],[Consumo_Energia_MWh]]&lt;=2000,Tb_prod[[#This Row],[Riesgo_Ambiental]]="Alto"),"Crítica","Normal")</f>
        <v>Normal</v>
      </c>
    </row>
    <row r="61" spans="1:24">
      <c r="A61">
        <v>16</v>
      </c>
      <c r="B61" t="str">
        <f>VLOOKUP(Tb_prod[[#This Row],[Región]],AUX_REGION[],2,0)</f>
        <v>Minera Staff</v>
      </c>
      <c r="C61" t="s">
        <v>25</v>
      </c>
      <c r="D61" t="s">
        <v>13</v>
      </c>
      <c r="E61" t="s">
        <v>14</v>
      </c>
      <c r="F61" t="s">
        <v>15</v>
      </c>
      <c r="G61" t="s">
        <v>22</v>
      </c>
      <c r="H61" s="23">
        <v>4108.3</v>
      </c>
      <c r="I61" s="23">
        <v>1762.16</v>
      </c>
      <c r="J61" s="23">
        <v>35267.18</v>
      </c>
      <c r="K61" s="23">
        <v>855.68</v>
      </c>
      <c r="L61" s="10">
        <v>41358908340</v>
      </c>
      <c r="M61" s="9">
        <v>136385566650</v>
      </c>
      <c r="N61" s="12">
        <f xml:space="preserve"> Tb_prod[[#This Row],[Costo_Mantenimiento_CLP]] / Tb_prod[[#This Row],[Dias_Operación_Mes]]</f>
        <v>1378630278</v>
      </c>
      <c r="O61" s="11">
        <f>Tb_prod[[#This Row],[Costo_Operativo_CLP]] / Tb_prod[[#This Row],[Producción_Toneladas]]</f>
        <v>33197567.521846019</v>
      </c>
      <c r="P61">
        <v>168</v>
      </c>
      <c r="Q61">
        <v>30</v>
      </c>
      <c r="R61" s="6">
        <v>44948</v>
      </c>
      <c r="S61" t="str">
        <f t="shared" si="0"/>
        <v>domingo</v>
      </c>
      <c r="T61" t="str">
        <f t="shared" si="1"/>
        <v>enero</v>
      </c>
      <c r="U61">
        <v>82.15</v>
      </c>
      <c r="V61">
        <f xml:space="preserve"> Tb_prod[[#This Row],[Emisiones_CO2_ton]] / Tb_prod[[#This Row],[Cantidad_Empleados]]</f>
        <v>5.0933333333333328</v>
      </c>
      <c r="W61" t="str">
        <f>IF(Tb_prod[[#This Row],[Recuperación_Metal_Porcentaje]]&gt;90,"Alta",IF(Tb_prod[[#This Row],[Recuperación_Metal_Porcentaje]]&gt;75,"Media","Baja"))</f>
        <v>Media</v>
      </c>
      <c r="X61" t="str">
        <f>IF(AND(Tb_prod[[#This Row],[Consumo_Energia_MWh]]&lt;=2000,Tb_prod[[#This Row],[Riesgo_Ambiental]]="Alto"),"Crítica","Normal")</f>
        <v>Normal</v>
      </c>
    </row>
    <row r="62" spans="1:24">
      <c r="A62">
        <v>309</v>
      </c>
      <c r="B62" t="str">
        <f>VLOOKUP(Tb_prod[[#This Row],[Región]],AUX_REGION[],2,0)</f>
        <v>Minera Staff</v>
      </c>
      <c r="C62" t="s">
        <v>17</v>
      </c>
      <c r="D62" t="s">
        <v>13</v>
      </c>
      <c r="E62" t="s">
        <v>14</v>
      </c>
      <c r="F62" t="s">
        <v>24</v>
      </c>
      <c r="G62" t="s">
        <v>20</v>
      </c>
      <c r="H62" s="23">
        <v>3849.57</v>
      </c>
      <c r="I62" s="23">
        <v>2642.67</v>
      </c>
      <c r="J62" s="23">
        <v>35444.9</v>
      </c>
      <c r="K62" s="23">
        <v>1315.33</v>
      </c>
      <c r="L62" s="10">
        <v>28334545020</v>
      </c>
      <c r="M62" s="9">
        <v>132674537430</v>
      </c>
      <c r="N62" s="12">
        <f xml:space="preserve"> Tb_prod[[#This Row],[Costo_Mantenimiento_CLP]] / Tb_prod[[#This Row],[Dias_Operación_Mes]]</f>
        <v>1180606042.5</v>
      </c>
      <c r="O62" s="11">
        <f>Tb_prod[[#This Row],[Costo_Operativo_CLP]] / Tb_prod[[#This Row],[Producción_Toneladas]]</f>
        <v>34464768.124751598</v>
      </c>
      <c r="P62">
        <v>264</v>
      </c>
      <c r="Q62">
        <v>24</v>
      </c>
      <c r="R62" s="6">
        <v>45803</v>
      </c>
      <c r="S62" t="str">
        <f t="shared" si="0"/>
        <v>lunes</v>
      </c>
      <c r="T62" t="str">
        <f t="shared" si="1"/>
        <v>mayo</v>
      </c>
      <c r="U62">
        <v>93.81</v>
      </c>
      <c r="V62">
        <f xml:space="preserve"> Tb_prod[[#This Row],[Emisiones_CO2_ton]] / Tb_prod[[#This Row],[Cantidad_Empleados]]</f>
        <v>4.9823106060606062</v>
      </c>
      <c r="W62" t="str">
        <f>IF(Tb_prod[[#This Row],[Recuperación_Metal_Porcentaje]]&gt;90,"Alta",IF(Tb_prod[[#This Row],[Recuperación_Metal_Porcentaje]]&gt;75,"Media","Baja"))</f>
        <v>Alta</v>
      </c>
      <c r="X62" t="str">
        <f>IF(AND(Tb_prod[[#This Row],[Consumo_Energia_MWh]]&lt;=2000,Tb_prod[[#This Row],[Riesgo_Ambiental]]="Alto"),"Crítica","Normal")</f>
        <v>Normal</v>
      </c>
    </row>
    <row r="63" spans="1:24">
      <c r="A63">
        <v>371</v>
      </c>
      <c r="B63" t="str">
        <f>VLOOKUP(Tb_prod[[#This Row],[Región]],AUX_REGION[],2,0)</f>
        <v>Minera Romero</v>
      </c>
      <c r="C63" t="s">
        <v>25</v>
      </c>
      <c r="D63" t="s">
        <v>23</v>
      </c>
      <c r="E63" t="s">
        <v>14</v>
      </c>
      <c r="F63" t="s">
        <v>15</v>
      </c>
      <c r="G63" t="s">
        <v>22</v>
      </c>
      <c r="H63" s="23">
        <v>6834.79</v>
      </c>
      <c r="I63" s="23">
        <v>1517.98</v>
      </c>
      <c r="J63" s="23">
        <v>35656.199999999997</v>
      </c>
      <c r="K63" s="23">
        <v>762.06</v>
      </c>
      <c r="L63" s="10">
        <v>1089064620</v>
      </c>
      <c r="M63" s="9">
        <v>174203670150</v>
      </c>
      <c r="N63" s="12">
        <f xml:space="preserve"> Tb_prod[[#This Row],[Costo_Mantenimiento_CLP]] / Tb_prod[[#This Row],[Dias_Operación_Mes]]</f>
        <v>51860220</v>
      </c>
      <c r="O63" s="11">
        <f>Tb_prod[[#This Row],[Costo_Operativo_CLP]] / Tb_prod[[#This Row],[Producción_Toneladas]]</f>
        <v>25487786.771795478</v>
      </c>
      <c r="P63">
        <v>276</v>
      </c>
      <c r="Q63">
        <v>21</v>
      </c>
      <c r="R63" s="6">
        <v>45839</v>
      </c>
      <c r="S63" t="str">
        <f t="shared" si="0"/>
        <v>martes</v>
      </c>
      <c r="T63" t="str">
        <f t="shared" si="1"/>
        <v>julio</v>
      </c>
      <c r="U63">
        <v>91.17</v>
      </c>
      <c r="V63">
        <f xml:space="preserve"> Tb_prod[[#This Row],[Emisiones_CO2_ton]] / Tb_prod[[#This Row],[Cantidad_Empleados]]</f>
        <v>2.7610869565217389</v>
      </c>
      <c r="W63" t="str">
        <f>IF(Tb_prod[[#This Row],[Recuperación_Metal_Porcentaje]]&gt;90,"Alta",IF(Tb_prod[[#This Row],[Recuperación_Metal_Porcentaje]]&gt;75,"Media","Baja"))</f>
        <v>Alta</v>
      </c>
      <c r="X63" t="str">
        <f>IF(AND(Tb_prod[[#This Row],[Consumo_Energia_MWh]]&lt;=2000,Tb_prod[[#This Row],[Riesgo_Ambiental]]="Alto"),"Crítica","Normal")</f>
        <v>Normal</v>
      </c>
    </row>
    <row r="64" spans="1:24">
      <c r="A64">
        <v>408</v>
      </c>
      <c r="B64" t="str">
        <f>VLOOKUP(Tb_prod[[#This Row],[Región]],AUX_REGION[],2,0)</f>
        <v>Minera del Norte</v>
      </c>
      <c r="C64" t="s">
        <v>12</v>
      </c>
      <c r="D64" t="s">
        <v>18</v>
      </c>
      <c r="E64" t="s">
        <v>19</v>
      </c>
      <c r="F64" t="s">
        <v>15</v>
      </c>
      <c r="G64" t="s">
        <v>22</v>
      </c>
      <c r="H64" s="23">
        <v>4760.38</v>
      </c>
      <c r="I64" s="23">
        <v>2335.21</v>
      </c>
      <c r="J64" s="23">
        <v>35821.050000000003</v>
      </c>
      <c r="K64" s="23">
        <v>938.77</v>
      </c>
      <c r="L64" s="10">
        <v>6247766070</v>
      </c>
      <c r="M64" s="9">
        <v>122435270910</v>
      </c>
      <c r="N64" s="12">
        <f xml:space="preserve"> Tb_prod[[#This Row],[Costo_Mantenimiento_CLP]] / Tb_prod[[#This Row],[Dias_Operación_Mes]]</f>
        <v>208258869</v>
      </c>
      <c r="O64" s="11">
        <f>Tb_prod[[#This Row],[Costo_Operativo_CLP]] / Tb_prod[[#This Row],[Producción_Toneladas]]</f>
        <v>25719642.320571046</v>
      </c>
      <c r="P64">
        <v>154</v>
      </c>
      <c r="Q64">
        <v>30</v>
      </c>
      <c r="R64" s="6">
        <v>44963</v>
      </c>
      <c r="S64" t="str">
        <f t="shared" si="0"/>
        <v>lunes</v>
      </c>
      <c r="T64" t="str">
        <f t="shared" si="1"/>
        <v>febrero</v>
      </c>
      <c r="U64">
        <v>87.72</v>
      </c>
      <c r="V64">
        <f xml:space="preserve"> Tb_prod[[#This Row],[Emisiones_CO2_ton]] / Tb_prod[[#This Row],[Cantidad_Empleados]]</f>
        <v>6.0959090909090907</v>
      </c>
      <c r="W64" t="str">
        <f>IF(Tb_prod[[#This Row],[Recuperación_Metal_Porcentaje]]&gt;90,"Alta",IF(Tb_prod[[#This Row],[Recuperación_Metal_Porcentaje]]&gt;75,"Media","Baja"))</f>
        <v>Media</v>
      </c>
      <c r="X64" t="str">
        <f>IF(AND(Tb_prod[[#This Row],[Consumo_Energia_MWh]]&lt;=2000,Tb_prod[[#This Row],[Riesgo_Ambiental]]="Alto"),"Crítica","Normal")</f>
        <v>Normal</v>
      </c>
    </row>
    <row r="65" spans="1:24">
      <c r="A65">
        <v>493</v>
      </c>
      <c r="B65" t="str">
        <f>VLOOKUP(Tb_prod[[#This Row],[Región]],AUX_REGION[],2,0)</f>
        <v>Minera Staff</v>
      </c>
      <c r="C65" t="s">
        <v>12</v>
      </c>
      <c r="D65" t="s">
        <v>13</v>
      </c>
      <c r="E65" t="s">
        <v>19</v>
      </c>
      <c r="F65" t="s">
        <v>24</v>
      </c>
      <c r="G65" t="s">
        <v>16</v>
      </c>
      <c r="H65" s="23">
        <v>4630.24</v>
      </c>
      <c r="I65" s="23">
        <v>1692.01</v>
      </c>
      <c r="J65" s="23">
        <v>35993.019999999997</v>
      </c>
      <c r="K65" s="23">
        <v>1243.02</v>
      </c>
      <c r="L65" s="10">
        <v>33595726860</v>
      </c>
      <c r="M65" s="9">
        <v>99468351360</v>
      </c>
      <c r="N65" s="12">
        <f xml:space="preserve"> Tb_prod[[#This Row],[Costo_Mantenimiento_CLP]] / Tb_prod[[#This Row],[Dias_Operación_Mes]]</f>
        <v>1343829074.4000001</v>
      </c>
      <c r="O65" s="11">
        <f>Tb_prod[[#This Row],[Costo_Operativo_CLP]] / Tb_prod[[#This Row],[Producción_Toneladas]]</f>
        <v>21482331.663153529</v>
      </c>
      <c r="P65">
        <v>180</v>
      </c>
      <c r="Q65">
        <v>25</v>
      </c>
      <c r="R65" s="6">
        <v>44973</v>
      </c>
      <c r="S65" t="str">
        <f t="shared" si="0"/>
        <v>jueves</v>
      </c>
      <c r="T65" t="str">
        <f t="shared" si="1"/>
        <v>febrero</v>
      </c>
      <c r="U65">
        <v>82.89</v>
      </c>
      <c r="V65">
        <f xml:space="preserve"> Tb_prod[[#This Row],[Emisiones_CO2_ton]] / Tb_prod[[#This Row],[Cantidad_Empleados]]</f>
        <v>6.9056666666666668</v>
      </c>
      <c r="W65" t="str">
        <f>IF(Tb_prod[[#This Row],[Recuperación_Metal_Porcentaje]]&gt;90,"Alta",IF(Tb_prod[[#This Row],[Recuperación_Metal_Porcentaje]]&gt;75,"Media","Baja"))</f>
        <v>Media</v>
      </c>
      <c r="X65" t="str">
        <f>IF(AND(Tb_prod[[#This Row],[Consumo_Energia_MWh]]&lt;=2000,Tb_prod[[#This Row],[Riesgo_Ambiental]]="Alto"),"Crítica","Normal")</f>
        <v>Normal</v>
      </c>
    </row>
    <row r="66" spans="1:24">
      <c r="A66">
        <v>465</v>
      </c>
      <c r="B66" t="str">
        <f>VLOOKUP(Tb_prod[[#This Row],[Región]],AUX_REGION[],2,0)</f>
        <v>Minera Romero</v>
      </c>
      <c r="C66" t="s">
        <v>25</v>
      </c>
      <c r="D66" t="s">
        <v>23</v>
      </c>
      <c r="E66" t="s">
        <v>14</v>
      </c>
      <c r="F66" t="s">
        <v>24</v>
      </c>
      <c r="G66" t="s">
        <v>22</v>
      </c>
      <c r="H66" s="23">
        <v>6101.37</v>
      </c>
      <c r="I66" s="23">
        <v>2023.32</v>
      </c>
      <c r="J66" s="23">
        <v>36224.769999999997</v>
      </c>
      <c r="K66" s="23">
        <v>868.72</v>
      </c>
      <c r="L66" s="10">
        <v>6524141310</v>
      </c>
      <c r="M66" s="9">
        <v>98728892820</v>
      </c>
      <c r="N66" s="12">
        <f xml:space="preserve"> Tb_prod[[#This Row],[Costo_Mantenimiento_CLP]] / Tb_prod[[#This Row],[Dias_Operación_Mes]]</f>
        <v>310673395.71428573</v>
      </c>
      <c r="O66" s="11">
        <f>Tb_prod[[#This Row],[Costo_Operativo_CLP]] / Tb_prod[[#This Row],[Producción_Toneladas]]</f>
        <v>16181430.206658505</v>
      </c>
      <c r="P66">
        <v>76</v>
      </c>
      <c r="Q66">
        <v>21</v>
      </c>
      <c r="R66" s="6">
        <v>45640</v>
      </c>
      <c r="S66" t="str">
        <f t="shared" ref="S66:S129" si="2">TEXT(R66,"dddd")</f>
        <v>sábado</v>
      </c>
      <c r="T66" t="str">
        <f t="shared" ref="T66:T129" si="3">TEXT(R66,"mmmm")</f>
        <v>diciembre</v>
      </c>
      <c r="U66">
        <v>96.61</v>
      </c>
      <c r="V66">
        <f xml:space="preserve"> Tb_prod[[#This Row],[Emisiones_CO2_ton]] / Tb_prod[[#This Row],[Cantidad_Empleados]]</f>
        <v>11.430526315789473</v>
      </c>
      <c r="W66" t="str">
        <f>IF(Tb_prod[[#This Row],[Recuperación_Metal_Porcentaje]]&gt;90,"Alta",IF(Tb_prod[[#This Row],[Recuperación_Metal_Porcentaje]]&gt;75,"Media","Baja"))</f>
        <v>Alta</v>
      </c>
      <c r="X66" t="str">
        <f>IF(AND(Tb_prod[[#This Row],[Consumo_Energia_MWh]]&lt;=2000,Tb_prod[[#This Row],[Riesgo_Ambiental]]="Alto"),"Crítica","Normal")</f>
        <v>Normal</v>
      </c>
    </row>
    <row r="67" spans="1:24">
      <c r="A67">
        <v>20</v>
      </c>
      <c r="B67" t="str">
        <f>VLOOKUP(Tb_prod[[#This Row],[Región]],AUX_REGION[],2,0)</f>
        <v>Minera Romero</v>
      </c>
      <c r="C67" t="s">
        <v>12</v>
      </c>
      <c r="D67" t="s">
        <v>23</v>
      </c>
      <c r="E67" t="s">
        <v>14</v>
      </c>
      <c r="F67" t="s">
        <v>15</v>
      </c>
      <c r="G67" t="s">
        <v>16</v>
      </c>
      <c r="H67" s="23">
        <v>6929.22</v>
      </c>
      <c r="I67" s="23">
        <v>3479.44</v>
      </c>
      <c r="J67" s="23">
        <v>36338.18</v>
      </c>
      <c r="K67" s="23">
        <v>1220.27</v>
      </c>
      <c r="L67" s="10">
        <v>44043785010</v>
      </c>
      <c r="M67" s="9">
        <v>147149506080</v>
      </c>
      <c r="N67" s="12">
        <f xml:space="preserve"> Tb_prod[[#This Row],[Costo_Mantenimiento_CLP]] / Tb_prod[[#This Row],[Dias_Operación_Mes]]</f>
        <v>2097323095.7142856</v>
      </c>
      <c r="O67" s="11">
        <f>Tb_prod[[#This Row],[Costo_Operativo_CLP]] / Tb_prod[[#This Row],[Producción_Toneladas]]</f>
        <v>21236085.169759367</v>
      </c>
      <c r="P67">
        <v>113</v>
      </c>
      <c r="Q67">
        <v>21</v>
      </c>
      <c r="R67" s="6">
        <v>45401</v>
      </c>
      <c r="S67" t="str">
        <f t="shared" si="2"/>
        <v>viernes</v>
      </c>
      <c r="T67" t="str">
        <f t="shared" si="3"/>
        <v>abril</v>
      </c>
      <c r="U67">
        <v>73.989999999999995</v>
      </c>
      <c r="V67">
        <f xml:space="preserve"> Tb_prod[[#This Row],[Emisiones_CO2_ton]] / Tb_prod[[#This Row],[Cantidad_Empleados]]</f>
        <v>10.798849557522123</v>
      </c>
      <c r="W67" t="str">
        <f>IF(Tb_prod[[#This Row],[Recuperación_Metal_Porcentaje]]&gt;90,"Alta",IF(Tb_prod[[#This Row],[Recuperación_Metal_Porcentaje]]&gt;75,"Media","Baja"))</f>
        <v>Baja</v>
      </c>
      <c r="X67" t="str">
        <f>IF(AND(Tb_prod[[#This Row],[Consumo_Energia_MWh]]&lt;=2000,Tb_prod[[#This Row],[Riesgo_Ambiental]]="Alto"),"Crítica","Normal")</f>
        <v>Normal</v>
      </c>
    </row>
    <row r="68" spans="1:24">
      <c r="A68">
        <v>399</v>
      </c>
      <c r="B68" t="str">
        <f>VLOOKUP(Tb_prod[[#This Row],[Región]],AUX_REGION[],2,0)</f>
        <v>Minera del Norte</v>
      </c>
      <c r="C68" t="s">
        <v>12</v>
      </c>
      <c r="D68" t="s">
        <v>18</v>
      </c>
      <c r="E68" t="s">
        <v>14</v>
      </c>
      <c r="F68" t="s">
        <v>26</v>
      </c>
      <c r="G68" t="s">
        <v>20</v>
      </c>
      <c r="H68" s="23">
        <v>4775.0200000000004</v>
      </c>
      <c r="I68" s="23">
        <v>1484.4</v>
      </c>
      <c r="J68" s="23">
        <v>36568.720000000001</v>
      </c>
      <c r="K68" s="23">
        <v>953.05</v>
      </c>
      <c r="L68" s="10">
        <v>16182802800</v>
      </c>
      <c r="M68" s="9">
        <v>44874207000</v>
      </c>
      <c r="N68" s="12">
        <f xml:space="preserve"> Tb_prod[[#This Row],[Costo_Mantenimiento_CLP]] / Tb_prod[[#This Row],[Dias_Operación_Mes]]</f>
        <v>558027682.75862074</v>
      </c>
      <c r="O68" s="11">
        <f>Tb_prod[[#This Row],[Costo_Operativo_CLP]] / Tb_prod[[#This Row],[Producción_Toneladas]]</f>
        <v>9397700.3237682767</v>
      </c>
      <c r="P68">
        <v>226</v>
      </c>
      <c r="Q68">
        <v>29</v>
      </c>
      <c r="R68" s="6">
        <v>45602</v>
      </c>
      <c r="S68" t="str">
        <f t="shared" si="2"/>
        <v>miércoles</v>
      </c>
      <c r="T68" t="str">
        <f t="shared" si="3"/>
        <v>noviembre</v>
      </c>
      <c r="U68">
        <v>72.930000000000007</v>
      </c>
      <c r="V68">
        <f xml:space="preserve"> Tb_prod[[#This Row],[Emisiones_CO2_ton]] / Tb_prod[[#This Row],[Cantidad_Empleados]]</f>
        <v>4.2170353982300881</v>
      </c>
      <c r="W68" t="str">
        <f>IF(Tb_prod[[#This Row],[Recuperación_Metal_Porcentaje]]&gt;90,"Alta",IF(Tb_prod[[#This Row],[Recuperación_Metal_Porcentaje]]&gt;75,"Media","Baja"))</f>
        <v>Baja</v>
      </c>
      <c r="X68" t="str">
        <f>IF(AND(Tb_prod[[#This Row],[Consumo_Energia_MWh]]&lt;=2000,Tb_prod[[#This Row],[Riesgo_Ambiental]]="Alto"),"Crítica","Normal")</f>
        <v>Crítica</v>
      </c>
    </row>
    <row r="69" spans="1:24">
      <c r="A69">
        <v>67</v>
      </c>
      <c r="B69" t="str">
        <f>VLOOKUP(Tb_prod[[#This Row],[Región]],AUX_REGION[],2,0)</f>
        <v>Minera del Norte</v>
      </c>
      <c r="C69" t="s">
        <v>25</v>
      </c>
      <c r="D69" t="s">
        <v>18</v>
      </c>
      <c r="E69" t="s">
        <v>14</v>
      </c>
      <c r="F69" t="s">
        <v>26</v>
      </c>
      <c r="G69" t="s">
        <v>20</v>
      </c>
      <c r="H69" s="23">
        <v>3983.44</v>
      </c>
      <c r="I69" s="23">
        <v>1006.14</v>
      </c>
      <c r="J69" s="23">
        <v>36648.43</v>
      </c>
      <c r="K69" s="23">
        <v>1039.52</v>
      </c>
      <c r="L69" s="10">
        <v>36411980580</v>
      </c>
      <c r="M69" s="9">
        <v>108560036430</v>
      </c>
      <c r="N69" s="12">
        <f xml:space="preserve"> Tb_prod[[#This Row],[Costo_Mantenimiento_CLP]] / Tb_prod[[#This Row],[Dias_Operación_Mes]]</f>
        <v>1820599029</v>
      </c>
      <c r="O69" s="11">
        <f>Tb_prod[[#This Row],[Costo_Operativo_CLP]] / Tb_prod[[#This Row],[Producción_Toneladas]]</f>
        <v>27252835.847910348</v>
      </c>
      <c r="P69">
        <v>174</v>
      </c>
      <c r="Q69">
        <v>20</v>
      </c>
      <c r="R69" s="6">
        <v>45585</v>
      </c>
      <c r="S69" t="str">
        <f t="shared" si="2"/>
        <v>domingo</v>
      </c>
      <c r="T69" t="str">
        <f t="shared" si="3"/>
        <v>octubre</v>
      </c>
      <c r="U69">
        <v>88.33</v>
      </c>
      <c r="V69">
        <f xml:space="preserve"> Tb_prod[[#This Row],[Emisiones_CO2_ton]] / Tb_prod[[#This Row],[Cantidad_Empleados]]</f>
        <v>5.9742528735632181</v>
      </c>
      <c r="W69" t="str">
        <f>IF(Tb_prod[[#This Row],[Recuperación_Metal_Porcentaje]]&gt;90,"Alta",IF(Tb_prod[[#This Row],[Recuperación_Metal_Porcentaje]]&gt;75,"Media","Baja"))</f>
        <v>Media</v>
      </c>
      <c r="X69" t="str">
        <f>IF(AND(Tb_prod[[#This Row],[Consumo_Energia_MWh]]&lt;=2000,Tb_prod[[#This Row],[Riesgo_Ambiental]]="Alto"),"Crítica","Normal")</f>
        <v>Crítica</v>
      </c>
    </row>
    <row r="70" spans="1:24">
      <c r="A70">
        <v>193</v>
      </c>
      <c r="B70" t="str">
        <f>VLOOKUP(Tb_prod[[#This Row],[Región]],AUX_REGION[],2,0)</f>
        <v>Minera Romero</v>
      </c>
      <c r="C70" t="s">
        <v>12</v>
      </c>
      <c r="D70" t="s">
        <v>23</v>
      </c>
      <c r="E70" t="s">
        <v>14</v>
      </c>
      <c r="F70" t="s">
        <v>24</v>
      </c>
      <c r="G70" t="s">
        <v>16</v>
      </c>
      <c r="H70" s="23">
        <v>5770.75</v>
      </c>
      <c r="I70" s="23">
        <v>1638.74</v>
      </c>
      <c r="J70" s="23">
        <v>36701.03</v>
      </c>
      <c r="K70" s="23">
        <v>587.19000000000005</v>
      </c>
      <c r="L70" s="10">
        <v>174175310000</v>
      </c>
      <c r="M70" s="9">
        <v>83132852850</v>
      </c>
      <c r="N70" s="12">
        <f xml:space="preserve"> Tb_prod[[#This Row],[Costo_Mantenimiento_CLP]] / Tb_prod[[#This Row],[Dias_Operación_Mes]]</f>
        <v>5805843666.666667</v>
      </c>
      <c r="O70" s="11">
        <f>Tb_prod[[#This Row],[Costo_Operativo_CLP]] / Tb_prod[[#This Row],[Producción_Toneladas]]</f>
        <v>14405900.940085778</v>
      </c>
      <c r="P70">
        <v>169</v>
      </c>
      <c r="Q70">
        <v>30</v>
      </c>
      <c r="R70" s="6">
        <v>45156</v>
      </c>
      <c r="S70" t="str">
        <f t="shared" si="2"/>
        <v>viernes</v>
      </c>
      <c r="T70" t="str">
        <f t="shared" si="3"/>
        <v>agosto</v>
      </c>
      <c r="U70">
        <v>77.48</v>
      </c>
      <c r="V70">
        <f xml:space="preserve"> Tb_prod[[#This Row],[Emisiones_CO2_ton]] / Tb_prod[[#This Row],[Cantidad_Empleados]]</f>
        <v>3.4744970414201188</v>
      </c>
      <c r="W70" t="str">
        <f>IF(Tb_prod[[#This Row],[Recuperación_Metal_Porcentaje]]&gt;90,"Alta",IF(Tb_prod[[#This Row],[Recuperación_Metal_Porcentaje]]&gt;75,"Media","Baja"))</f>
        <v>Media</v>
      </c>
      <c r="X70" t="str">
        <f>IF(AND(Tb_prod[[#This Row],[Consumo_Energia_MWh]]&lt;=2000,Tb_prod[[#This Row],[Riesgo_Ambiental]]="Alto"),"Crítica","Normal")</f>
        <v>Normal</v>
      </c>
    </row>
    <row r="71" spans="1:24">
      <c r="A71">
        <v>261</v>
      </c>
      <c r="B71" t="str">
        <f>VLOOKUP(Tb_prod[[#This Row],[Región]],AUX_REGION[],2,0)</f>
        <v>Minera Romero</v>
      </c>
      <c r="C71" t="s">
        <v>25</v>
      </c>
      <c r="D71" t="s">
        <v>23</v>
      </c>
      <c r="E71" t="s">
        <v>19</v>
      </c>
      <c r="F71" t="s">
        <v>26</v>
      </c>
      <c r="G71" t="s">
        <v>20</v>
      </c>
      <c r="H71" s="23">
        <v>2982.97</v>
      </c>
      <c r="I71" s="23">
        <v>1473.41</v>
      </c>
      <c r="J71" s="23">
        <v>36821.129999999997</v>
      </c>
      <c r="K71" s="23">
        <v>703.52</v>
      </c>
      <c r="L71" s="10">
        <v>33713811990</v>
      </c>
      <c r="M71" s="9">
        <v>471890232300</v>
      </c>
      <c r="N71" s="12">
        <f xml:space="preserve"> Tb_prod[[#This Row],[Costo_Mantenimiento_CLP]] / Tb_prod[[#This Row],[Dias_Operación_Mes]]</f>
        <v>1123793733</v>
      </c>
      <c r="O71" s="11">
        <f>Tb_prod[[#This Row],[Costo_Operativo_CLP]] / Tb_prod[[#This Row],[Producción_Toneladas]]</f>
        <v>158194763.03818008</v>
      </c>
      <c r="P71">
        <v>72</v>
      </c>
      <c r="Q71">
        <v>30</v>
      </c>
      <c r="R71" s="6">
        <v>45492</v>
      </c>
      <c r="S71" t="str">
        <f t="shared" si="2"/>
        <v>viernes</v>
      </c>
      <c r="T71" t="str">
        <f t="shared" si="3"/>
        <v>julio</v>
      </c>
      <c r="U71">
        <v>85.35</v>
      </c>
      <c r="V71">
        <f xml:space="preserve"> Tb_prod[[#This Row],[Emisiones_CO2_ton]] / Tb_prod[[#This Row],[Cantidad_Empleados]]</f>
        <v>9.7711111111111109</v>
      </c>
      <c r="W71" t="str">
        <f>IF(Tb_prod[[#This Row],[Recuperación_Metal_Porcentaje]]&gt;90,"Alta",IF(Tb_prod[[#This Row],[Recuperación_Metal_Porcentaje]]&gt;75,"Media","Baja"))</f>
        <v>Media</v>
      </c>
      <c r="X71" t="str">
        <f>IF(AND(Tb_prod[[#This Row],[Consumo_Energia_MWh]]&lt;=2000,Tb_prod[[#This Row],[Riesgo_Ambiental]]="Alto"),"Crítica","Normal")</f>
        <v>Crítica</v>
      </c>
    </row>
    <row r="72" spans="1:24">
      <c r="A72">
        <v>401</v>
      </c>
      <c r="B72" t="str">
        <f>VLOOKUP(Tb_prod[[#This Row],[Región]],AUX_REGION[],2,0)</f>
        <v>Minera Staff</v>
      </c>
      <c r="C72" t="s">
        <v>21</v>
      </c>
      <c r="D72" t="s">
        <v>13</v>
      </c>
      <c r="E72" t="s">
        <v>14</v>
      </c>
      <c r="F72" t="s">
        <v>15</v>
      </c>
      <c r="G72" t="s">
        <v>16</v>
      </c>
      <c r="H72" s="23">
        <v>6533.66</v>
      </c>
      <c r="I72" s="23">
        <v>1994.55</v>
      </c>
      <c r="J72" s="23">
        <v>36843.18</v>
      </c>
      <c r="K72" s="23">
        <v>1221.79</v>
      </c>
      <c r="L72" s="10">
        <v>13761906750</v>
      </c>
      <c r="M72" s="9">
        <v>141617566350</v>
      </c>
      <c r="N72" s="12">
        <f xml:space="preserve"> Tb_prod[[#This Row],[Costo_Mantenimiento_CLP]] / Tb_prod[[#This Row],[Dias_Operación_Mes]]</f>
        <v>509700250</v>
      </c>
      <c r="O72" s="11">
        <f>Tb_prod[[#This Row],[Costo_Operativo_CLP]] / Tb_prod[[#This Row],[Producción_Toneladas]]</f>
        <v>21675074.361077864</v>
      </c>
      <c r="P72">
        <v>213</v>
      </c>
      <c r="Q72">
        <v>27</v>
      </c>
      <c r="R72" s="6">
        <v>45846</v>
      </c>
      <c r="S72" t="str">
        <f t="shared" si="2"/>
        <v>martes</v>
      </c>
      <c r="T72" t="str">
        <f t="shared" si="3"/>
        <v>julio</v>
      </c>
      <c r="U72">
        <v>99</v>
      </c>
      <c r="V72">
        <f xml:space="preserve"> Tb_prod[[#This Row],[Emisiones_CO2_ton]] / Tb_prod[[#This Row],[Cantidad_Empleados]]</f>
        <v>5.7361032863849761</v>
      </c>
      <c r="W72" t="str">
        <f>IF(Tb_prod[[#This Row],[Recuperación_Metal_Porcentaje]]&gt;90,"Alta",IF(Tb_prod[[#This Row],[Recuperación_Metal_Porcentaje]]&gt;75,"Media","Baja"))</f>
        <v>Alta</v>
      </c>
      <c r="X72" t="str">
        <f>IF(AND(Tb_prod[[#This Row],[Consumo_Energia_MWh]]&lt;=2000,Tb_prod[[#This Row],[Riesgo_Ambiental]]="Alto"),"Crítica","Normal")</f>
        <v>Normal</v>
      </c>
    </row>
    <row r="73" spans="1:24">
      <c r="A73">
        <v>48</v>
      </c>
      <c r="B73" t="str">
        <f>VLOOKUP(Tb_prod[[#This Row],[Región]],AUX_REGION[],2,0)</f>
        <v>Minera del Norte</v>
      </c>
      <c r="C73" t="s">
        <v>17</v>
      </c>
      <c r="D73" t="s">
        <v>18</v>
      </c>
      <c r="E73" t="s">
        <v>14</v>
      </c>
      <c r="F73" t="s">
        <v>26</v>
      </c>
      <c r="G73" t="s">
        <v>22</v>
      </c>
      <c r="H73" s="23">
        <v>9112.82</v>
      </c>
      <c r="I73" s="23">
        <v>2328.0100000000002</v>
      </c>
      <c r="J73" s="23">
        <v>37108.339999999997</v>
      </c>
      <c r="K73" s="23">
        <v>1282.67</v>
      </c>
      <c r="L73" s="10">
        <v>13355742150</v>
      </c>
      <c r="M73" s="9">
        <v>37319600340</v>
      </c>
      <c r="N73" s="12">
        <f xml:space="preserve"> Tb_prod[[#This Row],[Costo_Mantenimiento_CLP]] / Tb_prod[[#This Row],[Dias_Operación_Mes]]</f>
        <v>667787107.5</v>
      </c>
      <c r="O73" s="11">
        <f>Tb_prod[[#This Row],[Costo_Operativo_CLP]] / Tb_prod[[#This Row],[Producción_Toneladas]]</f>
        <v>4095285.5800948553</v>
      </c>
      <c r="P73">
        <v>121</v>
      </c>
      <c r="Q73">
        <v>20</v>
      </c>
      <c r="R73" s="6">
        <v>45132</v>
      </c>
      <c r="S73" t="str">
        <f t="shared" si="2"/>
        <v>martes</v>
      </c>
      <c r="T73" t="str">
        <f t="shared" si="3"/>
        <v>julio</v>
      </c>
      <c r="U73">
        <v>96.4</v>
      </c>
      <c r="V73">
        <f xml:space="preserve"> Tb_prod[[#This Row],[Emisiones_CO2_ton]] / Tb_prod[[#This Row],[Cantidad_Empleados]]</f>
        <v>10.600578512396694</v>
      </c>
      <c r="W73" t="str">
        <f>IF(Tb_prod[[#This Row],[Recuperación_Metal_Porcentaje]]&gt;90,"Alta",IF(Tb_prod[[#This Row],[Recuperación_Metal_Porcentaje]]&gt;75,"Media","Baja"))</f>
        <v>Alta</v>
      </c>
      <c r="X73" t="str">
        <f>IF(AND(Tb_prod[[#This Row],[Consumo_Energia_MWh]]&lt;=2000,Tb_prod[[#This Row],[Riesgo_Ambiental]]="Alto"),"Crítica","Normal")</f>
        <v>Normal</v>
      </c>
    </row>
    <row r="74" spans="1:24">
      <c r="A74">
        <v>357</v>
      </c>
      <c r="B74" t="str">
        <f>VLOOKUP(Tb_prod[[#This Row],[Región]],AUX_REGION[],2,0)</f>
        <v>Minera Romero</v>
      </c>
      <c r="C74" t="s">
        <v>12</v>
      </c>
      <c r="D74" t="s">
        <v>23</v>
      </c>
      <c r="E74" t="s">
        <v>14</v>
      </c>
      <c r="F74" t="s">
        <v>26</v>
      </c>
      <c r="G74" t="s">
        <v>16</v>
      </c>
      <c r="H74" s="23">
        <v>5297.43</v>
      </c>
      <c r="I74" s="23">
        <v>2214.5700000000002</v>
      </c>
      <c r="J74" s="23">
        <v>37200.129999999997</v>
      </c>
      <c r="K74" s="23">
        <v>1337.89</v>
      </c>
      <c r="L74" s="10">
        <v>12178747620</v>
      </c>
      <c r="M74" s="9">
        <v>898882826340</v>
      </c>
      <c r="N74" s="12">
        <f xml:space="preserve"> Tb_prod[[#This Row],[Costo_Mantenimiento_CLP]] / Tb_prod[[#This Row],[Dias_Operación_Mes]]</f>
        <v>419956814.48275864</v>
      </c>
      <c r="O74" s="11">
        <f>Tb_prod[[#This Row],[Costo_Operativo_CLP]] / Tb_prod[[#This Row],[Producción_Toneladas]]</f>
        <v>169682813.42839828</v>
      </c>
      <c r="P74">
        <v>200</v>
      </c>
      <c r="Q74">
        <v>29</v>
      </c>
      <c r="R74" s="6">
        <v>44949</v>
      </c>
      <c r="S74" t="str">
        <f t="shared" si="2"/>
        <v>lunes</v>
      </c>
      <c r="T74" t="str">
        <f t="shared" si="3"/>
        <v>enero</v>
      </c>
      <c r="U74">
        <v>98.81</v>
      </c>
      <c r="V74">
        <f xml:space="preserve"> Tb_prod[[#This Row],[Emisiones_CO2_ton]] / Tb_prod[[#This Row],[Cantidad_Empleados]]</f>
        <v>6.6894500000000008</v>
      </c>
      <c r="W74" t="str">
        <f>IF(Tb_prod[[#This Row],[Recuperación_Metal_Porcentaje]]&gt;90,"Alta",IF(Tb_prod[[#This Row],[Recuperación_Metal_Porcentaje]]&gt;75,"Media","Baja"))</f>
        <v>Alta</v>
      </c>
      <c r="X74" t="str">
        <f>IF(AND(Tb_prod[[#This Row],[Consumo_Energia_MWh]]&lt;=2000,Tb_prod[[#This Row],[Riesgo_Ambiental]]="Alto"),"Crítica","Normal")</f>
        <v>Normal</v>
      </c>
    </row>
    <row r="75" spans="1:24">
      <c r="A75">
        <v>334</v>
      </c>
      <c r="B75" t="str">
        <f>VLOOKUP(Tb_prod[[#This Row],[Región]],AUX_REGION[],2,0)</f>
        <v>Minera Romero</v>
      </c>
      <c r="C75" t="s">
        <v>17</v>
      </c>
      <c r="D75" t="s">
        <v>23</v>
      </c>
      <c r="E75" t="s">
        <v>19</v>
      </c>
      <c r="F75" t="s">
        <v>26</v>
      </c>
      <c r="G75" t="s">
        <v>20</v>
      </c>
      <c r="H75" s="23">
        <v>3658.16</v>
      </c>
      <c r="I75" s="23">
        <v>2857.59</v>
      </c>
      <c r="J75" s="23">
        <v>37370.239999999998</v>
      </c>
      <c r="K75" s="23">
        <v>1002.4</v>
      </c>
      <c r="L75" s="10">
        <v>32493960360</v>
      </c>
      <c r="M75" s="9">
        <v>566777475420</v>
      </c>
      <c r="N75" s="12">
        <f xml:space="preserve"> Tb_prod[[#This Row],[Costo_Mantenimiento_CLP]] / Tb_prod[[#This Row],[Dias_Operación_Mes]]</f>
        <v>1249767706.1538463</v>
      </c>
      <c r="O75" s="11">
        <f>Tb_prod[[#This Row],[Costo_Operativo_CLP]] / Tb_prod[[#This Row],[Producción_Toneladas]]</f>
        <v>154935124.60362586</v>
      </c>
      <c r="P75">
        <v>185</v>
      </c>
      <c r="Q75">
        <v>26</v>
      </c>
      <c r="R75" s="6">
        <v>45888</v>
      </c>
      <c r="S75" t="str">
        <f t="shared" si="2"/>
        <v>martes</v>
      </c>
      <c r="T75" t="str">
        <f t="shared" si="3"/>
        <v>agosto</v>
      </c>
      <c r="U75">
        <v>87.48</v>
      </c>
      <c r="V75">
        <f xml:space="preserve"> Tb_prod[[#This Row],[Emisiones_CO2_ton]] / Tb_prod[[#This Row],[Cantidad_Empleados]]</f>
        <v>5.4183783783783781</v>
      </c>
      <c r="W75" t="str">
        <f>IF(Tb_prod[[#This Row],[Recuperación_Metal_Porcentaje]]&gt;90,"Alta",IF(Tb_prod[[#This Row],[Recuperación_Metal_Porcentaje]]&gt;75,"Media","Baja"))</f>
        <v>Media</v>
      </c>
      <c r="X75" t="str">
        <f>IF(AND(Tb_prod[[#This Row],[Consumo_Energia_MWh]]&lt;=2000,Tb_prod[[#This Row],[Riesgo_Ambiental]]="Alto"),"Crítica","Normal")</f>
        <v>Normal</v>
      </c>
    </row>
    <row r="76" spans="1:24">
      <c r="A76">
        <v>28</v>
      </c>
      <c r="B76" t="str">
        <f>VLOOKUP(Tb_prod[[#This Row],[Región]],AUX_REGION[],2,0)</f>
        <v>Minera del Norte</v>
      </c>
      <c r="C76" t="s">
        <v>25</v>
      </c>
      <c r="D76" t="s">
        <v>18</v>
      </c>
      <c r="E76" t="s">
        <v>14</v>
      </c>
      <c r="F76" t="s">
        <v>26</v>
      </c>
      <c r="G76" t="s">
        <v>16</v>
      </c>
      <c r="H76" s="23">
        <v>5183.08</v>
      </c>
      <c r="I76" s="23">
        <v>2023.5</v>
      </c>
      <c r="J76" s="23">
        <v>37517</v>
      </c>
      <c r="K76" s="23">
        <v>688.55</v>
      </c>
      <c r="L76" s="10">
        <v>30903048810</v>
      </c>
      <c r="M76" s="9">
        <v>125985614130</v>
      </c>
      <c r="N76" s="12">
        <f xml:space="preserve"> Tb_prod[[#This Row],[Costo_Mantenimiento_CLP]] / Tb_prod[[#This Row],[Dias_Operación_Mes]]</f>
        <v>1471573752.8571429</v>
      </c>
      <c r="O76" s="11">
        <f>Tb_prod[[#This Row],[Costo_Operativo_CLP]] / Tb_prod[[#This Row],[Producción_Toneladas]]</f>
        <v>24307094.262484856</v>
      </c>
      <c r="P76">
        <v>227</v>
      </c>
      <c r="Q76">
        <v>21</v>
      </c>
      <c r="R76" s="6">
        <v>45884</v>
      </c>
      <c r="S76" t="str">
        <f t="shared" si="2"/>
        <v>viernes</v>
      </c>
      <c r="T76" t="str">
        <f t="shared" si="3"/>
        <v>agosto</v>
      </c>
      <c r="U76">
        <v>78.87</v>
      </c>
      <c r="V76">
        <f xml:space="preserve"> Tb_prod[[#This Row],[Emisiones_CO2_ton]] / Tb_prod[[#This Row],[Cantidad_Empleados]]</f>
        <v>3.0332599118942731</v>
      </c>
      <c r="W76" t="str">
        <f>IF(Tb_prod[[#This Row],[Recuperación_Metal_Porcentaje]]&gt;90,"Alta",IF(Tb_prod[[#This Row],[Recuperación_Metal_Porcentaje]]&gt;75,"Media","Baja"))</f>
        <v>Media</v>
      </c>
      <c r="X76" t="str">
        <f>IF(AND(Tb_prod[[#This Row],[Consumo_Energia_MWh]]&lt;=2000,Tb_prod[[#This Row],[Riesgo_Ambiental]]="Alto"),"Crítica","Normal")</f>
        <v>Normal</v>
      </c>
    </row>
    <row r="77" spans="1:24">
      <c r="A77">
        <v>490</v>
      </c>
      <c r="B77" t="str">
        <f>VLOOKUP(Tb_prod[[#This Row],[Región]],AUX_REGION[],2,0)</f>
        <v>Minera del Norte</v>
      </c>
      <c r="C77" t="s">
        <v>25</v>
      </c>
      <c r="D77" t="s">
        <v>18</v>
      </c>
      <c r="E77" t="s">
        <v>14</v>
      </c>
      <c r="F77" t="s">
        <v>24</v>
      </c>
      <c r="G77" t="s">
        <v>16</v>
      </c>
      <c r="H77" s="23">
        <v>6236.02</v>
      </c>
      <c r="I77" s="23">
        <v>1570.72</v>
      </c>
      <c r="J77" s="23">
        <v>37943.629999999997</v>
      </c>
      <c r="K77" s="23">
        <v>1226.78</v>
      </c>
      <c r="L77" s="10">
        <v>939372930</v>
      </c>
      <c r="M77" s="9">
        <v>133945381980</v>
      </c>
      <c r="N77" s="12">
        <f xml:space="preserve"> Tb_prod[[#This Row],[Costo_Mantenimiento_CLP]] / Tb_prod[[#This Row],[Dias_Operación_Mes]]</f>
        <v>34791590</v>
      </c>
      <c r="O77" s="11">
        <f>Tb_prod[[#This Row],[Costo_Operativo_CLP]] / Tb_prod[[#This Row],[Producción_Toneladas]]</f>
        <v>21479306.028524604</v>
      </c>
      <c r="P77">
        <v>138</v>
      </c>
      <c r="Q77">
        <v>27</v>
      </c>
      <c r="R77" s="6">
        <v>45812</v>
      </c>
      <c r="S77" t="str">
        <f t="shared" si="2"/>
        <v>miércoles</v>
      </c>
      <c r="T77" t="str">
        <f t="shared" si="3"/>
        <v>junio</v>
      </c>
      <c r="U77">
        <v>84.76</v>
      </c>
      <c r="V77">
        <f xml:space="preserve"> Tb_prod[[#This Row],[Emisiones_CO2_ton]] / Tb_prod[[#This Row],[Cantidad_Empleados]]</f>
        <v>8.8897101449275358</v>
      </c>
      <c r="W77" t="str">
        <f>IF(Tb_prod[[#This Row],[Recuperación_Metal_Porcentaje]]&gt;90,"Alta",IF(Tb_prod[[#This Row],[Recuperación_Metal_Porcentaje]]&gt;75,"Media","Baja"))</f>
        <v>Media</v>
      </c>
      <c r="X77" t="str">
        <f>IF(AND(Tb_prod[[#This Row],[Consumo_Energia_MWh]]&lt;=2000,Tb_prod[[#This Row],[Riesgo_Ambiental]]="Alto"),"Crítica","Normal")</f>
        <v>Normal</v>
      </c>
    </row>
    <row r="78" spans="1:24">
      <c r="A78">
        <v>70</v>
      </c>
      <c r="B78" t="str">
        <f>VLOOKUP(Tb_prod[[#This Row],[Región]],AUX_REGION[],2,0)</f>
        <v>Minera del Norte</v>
      </c>
      <c r="C78" t="s">
        <v>12</v>
      </c>
      <c r="D78" t="s">
        <v>18</v>
      </c>
      <c r="E78" t="s">
        <v>19</v>
      </c>
      <c r="F78" t="s">
        <v>24</v>
      </c>
      <c r="G78" t="s">
        <v>20</v>
      </c>
      <c r="H78" s="23">
        <v>4003.2</v>
      </c>
      <c r="I78" s="23">
        <v>790.64</v>
      </c>
      <c r="J78" s="23">
        <v>38024.54</v>
      </c>
      <c r="K78" s="23">
        <v>1002.98</v>
      </c>
      <c r="L78" s="10">
        <v>8613978390</v>
      </c>
      <c r="M78" s="9">
        <v>173229008040</v>
      </c>
      <c r="N78" s="12">
        <f xml:space="preserve"> Tb_prod[[#This Row],[Costo_Mantenimiento_CLP]] / Tb_prod[[#This Row],[Dias_Operación_Mes]]</f>
        <v>319036236.66666669</v>
      </c>
      <c r="O78" s="11">
        <f>Tb_prod[[#This Row],[Costo_Operativo_CLP]] / Tb_prod[[#This Row],[Producción_Toneladas]]</f>
        <v>43272633.902877703</v>
      </c>
      <c r="P78">
        <v>85</v>
      </c>
      <c r="Q78">
        <v>27</v>
      </c>
      <c r="R78" s="6">
        <v>45114</v>
      </c>
      <c r="S78" t="str">
        <f t="shared" si="2"/>
        <v>viernes</v>
      </c>
      <c r="T78" t="str">
        <f t="shared" si="3"/>
        <v>julio</v>
      </c>
      <c r="U78">
        <v>75.790000000000006</v>
      </c>
      <c r="V78">
        <f xml:space="preserve"> Tb_prod[[#This Row],[Emisiones_CO2_ton]] / Tb_prod[[#This Row],[Cantidad_Empleados]]</f>
        <v>11.799764705882353</v>
      </c>
      <c r="W78" t="str">
        <f>IF(Tb_prod[[#This Row],[Recuperación_Metal_Porcentaje]]&gt;90,"Alta",IF(Tb_prod[[#This Row],[Recuperación_Metal_Porcentaje]]&gt;75,"Media","Baja"))</f>
        <v>Media</v>
      </c>
      <c r="X78" t="str">
        <f>IF(AND(Tb_prod[[#This Row],[Consumo_Energia_MWh]]&lt;=2000,Tb_prod[[#This Row],[Riesgo_Ambiental]]="Alto"),"Crítica","Normal")</f>
        <v>Crítica</v>
      </c>
    </row>
    <row r="79" spans="1:24">
      <c r="A79">
        <v>239</v>
      </c>
      <c r="B79" t="str">
        <f>VLOOKUP(Tb_prod[[#This Row],[Región]],AUX_REGION[],2,0)</f>
        <v>Minera del Norte</v>
      </c>
      <c r="C79" t="s">
        <v>17</v>
      </c>
      <c r="D79" t="s">
        <v>18</v>
      </c>
      <c r="E79" t="s">
        <v>14</v>
      </c>
      <c r="F79" t="s">
        <v>15</v>
      </c>
      <c r="G79" t="s">
        <v>16</v>
      </c>
      <c r="H79" s="23">
        <v>7027.22</v>
      </c>
      <c r="I79" s="23">
        <v>1763.61</v>
      </c>
      <c r="J79" s="23">
        <v>38089.33</v>
      </c>
      <c r="K79" s="23">
        <v>778.44</v>
      </c>
      <c r="L79" s="10">
        <v>16375018860</v>
      </c>
      <c r="M79" s="9">
        <v>29786512410</v>
      </c>
      <c r="N79" s="12">
        <f xml:space="preserve"> Tb_prod[[#This Row],[Costo_Mantenimiento_CLP]] / Tb_prod[[#This Row],[Dias_Operación_Mes]]</f>
        <v>564655822.75862074</v>
      </c>
      <c r="O79" s="11">
        <f>Tb_prod[[#This Row],[Costo_Operativo_CLP]] / Tb_prod[[#This Row],[Producción_Toneladas]]</f>
        <v>4238733.4408201249</v>
      </c>
      <c r="P79">
        <v>94</v>
      </c>
      <c r="Q79">
        <v>29</v>
      </c>
      <c r="R79" s="6">
        <v>45473</v>
      </c>
      <c r="S79" t="str">
        <f t="shared" si="2"/>
        <v>domingo</v>
      </c>
      <c r="T79" t="str">
        <f t="shared" si="3"/>
        <v>junio</v>
      </c>
      <c r="U79">
        <v>97.86</v>
      </c>
      <c r="V79">
        <f xml:space="preserve"> Tb_prod[[#This Row],[Emisiones_CO2_ton]] / Tb_prod[[#This Row],[Cantidad_Empleados]]</f>
        <v>8.2812765957446821</v>
      </c>
      <c r="W79" t="str">
        <f>IF(Tb_prod[[#This Row],[Recuperación_Metal_Porcentaje]]&gt;90,"Alta",IF(Tb_prod[[#This Row],[Recuperación_Metal_Porcentaje]]&gt;75,"Media","Baja"))</f>
        <v>Alta</v>
      </c>
      <c r="X79" t="str">
        <f>IF(AND(Tb_prod[[#This Row],[Consumo_Energia_MWh]]&lt;=2000,Tb_prod[[#This Row],[Riesgo_Ambiental]]="Alto"),"Crítica","Normal")</f>
        <v>Normal</v>
      </c>
    </row>
    <row r="80" spans="1:24">
      <c r="A80">
        <v>30</v>
      </c>
      <c r="B80" t="str">
        <f>VLOOKUP(Tb_prod[[#This Row],[Región]],AUX_REGION[],2,0)</f>
        <v>Minera Staff</v>
      </c>
      <c r="C80" t="s">
        <v>12</v>
      </c>
      <c r="D80" t="s">
        <v>13</v>
      </c>
      <c r="E80" t="s">
        <v>19</v>
      </c>
      <c r="F80" t="s">
        <v>26</v>
      </c>
      <c r="G80" t="s">
        <v>20</v>
      </c>
      <c r="H80" s="23">
        <v>5173.53</v>
      </c>
      <c r="I80" s="23">
        <v>1942.24</v>
      </c>
      <c r="J80" s="23">
        <v>38142.04</v>
      </c>
      <c r="K80" s="23">
        <v>848.63</v>
      </c>
      <c r="L80" s="10">
        <v>28608040260</v>
      </c>
      <c r="M80" s="9">
        <v>155574119340</v>
      </c>
      <c r="N80" s="12">
        <f xml:space="preserve"> Tb_prod[[#This Row],[Costo_Mantenimiento_CLP]] / Tb_prod[[#This Row],[Dias_Operación_Mes]]</f>
        <v>1021715723.5714285</v>
      </c>
      <c r="O80" s="11">
        <f>Tb_prod[[#This Row],[Costo_Operativo_CLP]] / Tb_prod[[#This Row],[Producción_Toneladas]]</f>
        <v>30071173.713112712</v>
      </c>
      <c r="P80">
        <v>157</v>
      </c>
      <c r="Q80">
        <v>28</v>
      </c>
      <c r="R80" s="6">
        <v>45758</v>
      </c>
      <c r="S80" t="str">
        <f t="shared" si="2"/>
        <v>viernes</v>
      </c>
      <c r="T80" t="str">
        <f t="shared" si="3"/>
        <v>abril</v>
      </c>
      <c r="U80">
        <v>71.83</v>
      </c>
      <c r="V80">
        <f xml:space="preserve"> Tb_prod[[#This Row],[Emisiones_CO2_ton]] / Tb_prod[[#This Row],[Cantidad_Empleados]]</f>
        <v>5.4052866242038213</v>
      </c>
      <c r="W80" t="str">
        <f>IF(Tb_prod[[#This Row],[Recuperación_Metal_Porcentaje]]&gt;90,"Alta",IF(Tb_prod[[#This Row],[Recuperación_Metal_Porcentaje]]&gt;75,"Media","Baja"))</f>
        <v>Baja</v>
      </c>
      <c r="X80" t="str">
        <f>IF(AND(Tb_prod[[#This Row],[Consumo_Energia_MWh]]&lt;=2000,Tb_prod[[#This Row],[Riesgo_Ambiental]]="Alto"),"Crítica","Normal")</f>
        <v>Crítica</v>
      </c>
    </row>
    <row r="81" spans="1:24">
      <c r="A81">
        <v>389</v>
      </c>
      <c r="B81" t="str">
        <f>VLOOKUP(Tb_prod[[#This Row],[Región]],AUX_REGION[],2,0)</f>
        <v>Minera Staff</v>
      </c>
      <c r="C81" t="s">
        <v>27</v>
      </c>
      <c r="D81" t="s">
        <v>13</v>
      </c>
      <c r="E81" t="s">
        <v>14</v>
      </c>
      <c r="F81" t="s">
        <v>15</v>
      </c>
      <c r="G81" t="s">
        <v>16</v>
      </c>
      <c r="H81" s="23">
        <v>5062.53</v>
      </c>
      <c r="I81" s="23">
        <v>2473.34</v>
      </c>
      <c r="J81" s="23">
        <v>38144.81</v>
      </c>
      <c r="K81" s="23">
        <v>1656.42</v>
      </c>
      <c r="L81" s="10">
        <v>1681983180</v>
      </c>
      <c r="M81" s="9">
        <v>61267337100</v>
      </c>
      <c r="N81" s="12">
        <f xml:space="preserve"> Tb_prod[[#This Row],[Costo_Mantenimiento_CLP]] / Tb_prod[[#This Row],[Dias_Operación_Mes]]</f>
        <v>56066106</v>
      </c>
      <c r="O81" s="11">
        <f>Tb_prod[[#This Row],[Costo_Operativo_CLP]] / Tb_prod[[#This Row],[Producción_Toneladas]]</f>
        <v>12102118.328187685</v>
      </c>
      <c r="P81">
        <v>77</v>
      </c>
      <c r="Q81">
        <v>30</v>
      </c>
      <c r="R81" s="6">
        <v>44947</v>
      </c>
      <c r="S81" t="str">
        <f t="shared" si="2"/>
        <v>sábado</v>
      </c>
      <c r="T81" t="str">
        <f t="shared" si="3"/>
        <v>enero</v>
      </c>
      <c r="U81">
        <v>84.72</v>
      </c>
      <c r="V81">
        <f xml:space="preserve"> Tb_prod[[#This Row],[Emisiones_CO2_ton]] / Tb_prod[[#This Row],[Cantidad_Empleados]]</f>
        <v>21.511948051948053</v>
      </c>
      <c r="W81" t="str">
        <f>IF(Tb_prod[[#This Row],[Recuperación_Metal_Porcentaje]]&gt;90,"Alta",IF(Tb_prod[[#This Row],[Recuperación_Metal_Porcentaje]]&gt;75,"Media","Baja"))</f>
        <v>Media</v>
      </c>
      <c r="X81" t="str">
        <f>IF(AND(Tb_prod[[#This Row],[Consumo_Energia_MWh]]&lt;=2000,Tb_prod[[#This Row],[Riesgo_Ambiental]]="Alto"),"Crítica","Normal")</f>
        <v>Normal</v>
      </c>
    </row>
    <row r="82" spans="1:24">
      <c r="A82">
        <v>445</v>
      </c>
      <c r="B82" t="str">
        <f>VLOOKUP(Tb_prod[[#This Row],[Región]],AUX_REGION[],2,0)</f>
        <v>Minera Staff</v>
      </c>
      <c r="C82" t="s">
        <v>17</v>
      </c>
      <c r="D82" t="s">
        <v>13</v>
      </c>
      <c r="E82" t="s">
        <v>14</v>
      </c>
      <c r="F82" t="s">
        <v>24</v>
      </c>
      <c r="G82" t="s">
        <v>16</v>
      </c>
      <c r="H82" s="23">
        <v>2572.6799999999998</v>
      </c>
      <c r="I82" s="23">
        <v>2205.5700000000002</v>
      </c>
      <c r="J82" s="23">
        <v>38187.199999999997</v>
      </c>
      <c r="K82" s="23">
        <v>1058.07</v>
      </c>
      <c r="L82" s="10">
        <v>39367010700</v>
      </c>
      <c r="M82" s="9">
        <v>153729673830</v>
      </c>
      <c r="N82" s="12">
        <f xml:space="preserve"> Tb_prod[[#This Row],[Costo_Mantenimiento_CLP]] / Tb_prod[[#This Row],[Dias_Operación_Mes]]</f>
        <v>1874619557.1428571</v>
      </c>
      <c r="O82" s="11">
        <f>Tb_prod[[#This Row],[Costo_Operativo_CLP]] / Tb_prod[[#This Row],[Producción_Toneladas]]</f>
        <v>59754681.4333691</v>
      </c>
      <c r="P82">
        <v>286</v>
      </c>
      <c r="Q82">
        <v>21</v>
      </c>
      <c r="R82" s="6">
        <v>45677</v>
      </c>
      <c r="S82" t="str">
        <f t="shared" si="2"/>
        <v>lunes</v>
      </c>
      <c r="T82" t="str">
        <f t="shared" si="3"/>
        <v>enero</v>
      </c>
      <c r="U82">
        <v>80.27</v>
      </c>
      <c r="V82">
        <f xml:space="preserve"> Tb_prod[[#This Row],[Emisiones_CO2_ton]] / Tb_prod[[#This Row],[Cantidad_Empleados]]</f>
        <v>3.6995454545454542</v>
      </c>
      <c r="W82" t="str">
        <f>IF(Tb_prod[[#This Row],[Recuperación_Metal_Porcentaje]]&gt;90,"Alta",IF(Tb_prod[[#This Row],[Recuperación_Metal_Porcentaje]]&gt;75,"Media","Baja"))</f>
        <v>Media</v>
      </c>
      <c r="X82" t="str">
        <f>IF(AND(Tb_prod[[#This Row],[Consumo_Energia_MWh]]&lt;=2000,Tb_prod[[#This Row],[Riesgo_Ambiental]]="Alto"),"Crítica","Normal")</f>
        <v>Normal</v>
      </c>
    </row>
    <row r="83" spans="1:24">
      <c r="A83">
        <v>322</v>
      </c>
      <c r="B83" t="str">
        <f>VLOOKUP(Tb_prod[[#This Row],[Región]],AUX_REGION[],2,0)</f>
        <v>Minera Staff</v>
      </c>
      <c r="C83" t="s">
        <v>25</v>
      </c>
      <c r="D83" t="s">
        <v>13</v>
      </c>
      <c r="E83" t="s">
        <v>19</v>
      </c>
      <c r="F83" t="s">
        <v>26</v>
      </c>
      <c r="G83" t="s">
        <v>16</v>
      </c>
      <c r="H83" s="23">
        <v>6808.54</v>
      </c>
      <c r="I83" s="23">
        <v>1578.04</v>
      </c>
      <c r="J83" s="23">
        <v>38195.29</v>
      </c>
      <c r="K83" s="23">
        <v>940.46</v>
      </c>
      <c r="L83" s="10">
        <v>10335960360</v>
      </c>
      <c r="M83" s="9">
        <v>74635219080</v>
      </c>
      <c r="N83" s="12">
        <f xml:space="preserve"> Tb_prod[[#This Row],[Costo_Mantenimiento_CLP]] / Tb_prod[[#This Row],[Dias_Operación_Mes]]</f>
        <v>449389580.86956519</v>
      </c>
      <c r="O83" s="11">
        <f>Tb_prod[[#This Row],[Costo_Operativo_CLP]] / Tb_prod[[#This Row],[Producción_Toneladas]]</f>
        <v>10962000.528747721</v>
      </c>
      <c r="P83">
        <v>124</v>
      </c>
      <c r="Q83">
        <v>23</v>
      </c>
      <c r="R83" s="6">
        <v>45757</v>
      </c>
      <c r="S83" t="str">
        <f t="shared" si="2"/>
        <v>jueves</v>
      </c>
      <c r="T83" t="str">
        <f t="shared" si="3"/>
        <v>abril</v>
      </c>
      <c r="U83">
        <v>73.69</v>
      </c>
      <c r="V83">
        <f xml:space="preserve"> Tb_prod[[#This Row],[Emisiones_CO2_ton]] / Tb_prod[[#This Row],[Cantidad_Empleados]]</f>
        <v>7.584354838709678</v>
      </c>
      <c r="W83" t="str">
        <f>IF(Tb_prod[[#This Row],[Recuperación_Metal_Porcentaje]]&gt;90,"Alta",IF(Tb_prod[[#This Row],[Recuperación_Metal_Porcentaje]]&gt;75,"Media","Baja"))</f>
        <v>Baja</v>
      </c>
      <c r="X83" t="str">
        <f>IF(AND(Tb_prod[[#This Row],[Consumo_Energia_MWh]]&lt;=2000,Tb_prod[[#This Row],[Riesgo_Ambiental]]="Alto"),"Crítica","Normal")</f>
        <v>Normal</v>
      </c>
    </row>
    <row r="84" spans="1:24">
      <c r="A84">
        <v>200</v>
      </c>
      <c r="B84" t="str">
        <f>VLOOKUP(Tb_prod[[#This Row],[Región]],AUX_REGION[],2,0)</f>
        <v>Minera Romero</v>
      </c>
      <c r="C84" t="s">
        <v>12</v>
      </c>
      <c r="D84" t="s">
        <v>23</v>
      </c>
      <c r="E84" t="s">
        <v>14</v>
      </c>
      <c r="F84" t="s">
        <v>15</v>
      </c>
      <c r="G84" t="s">
        <v>16</v>
      </c>
      <c r="H84" s="23">
        <v>4303.41</v>
      </c>
      <c r="I84" s="23">
        <v>1702.58</v>
      </c>
      <c r="J84" s="23">
        <v>38350.870000000003</v>
      </c>
      <c r="K84" s="23">
        <v>1268.31</v>
      </c>
      <c r="L84" s="10">
        <v>16704995130</v>
      </c>
      <c r="M84" s="9">
        <v>116600756130</v>
      </c>
      <c r="N84" s="12">
        <f xml:space="preserve"> Tb_prod[[#This Row],[Costo_Mantenimiento_CLP]] / Tb_prod[[#This Row],[Dias_Operación_Mes]]</f>
        <v>726304136.0869565</v>
      </c>
      <c r="O84" s="11">
        <f>Tb_prod[[#This Row],[Costo_Operativo_CLP]] / Tb_prod[[#This Row],[Producción_Toneladas]]</f>
        <v>27094967.974234387</v>
      </c>
      <c r="P84">
        <v>286</v>
      </c>
      <c r="Q84">
        <v>23</v>
      </c>
      <c r="R84" s="6">
        <v>45554</v>
      </c>
      <c r="S84" t="str">
        <f t="shared" si="2"/>
        <v>jueves</v>
      </c>
      <c r="T84" t="str">
        <f t="shared" si="3"/>
        <v>septiembre</v>
      </c>
      <c r="U84">
        <v>96.19</v>
      </c>
      <c r="V84">
        <f xml:space="preserve"> Tb_prod[[#This Row],[Emisiones_CO2_ton]] / Tb_prod[[#This Row],[Cantidad_Empleados]]</f>
        <v>4.4346503496503491</v>
      </c>
      <c r="W84" t="str">
        <f>IF(Tb_prod[[#This Row],[Recuperación_Metal_Porcentaje]]&gt;90,"Alta",IF(Tb_prod[[#This Row],[Recuperación_Metal_Porcentaje]]&gt;75,"Media","Baja"))</f>
        <v>Alta</v>
      </c>
      <c r="X84" t="str">
        <f>IF(AND(Tb_prod[[#This Row],[Consumo_Energia_MWh]]&lt;=2000,Tb_prod[[#This Row],[Riesgo_Ambiental]]="Alto"),"Crítica","Normal")</f>
        <v>Normal</v>
      </c>
    </row>
    <row r="85" spans="1:24">
      <c r="A85">
        <v>127</v>
      </c>
      <c r="B85" t="str">
        <f>VLOOKUP(Tb_prod[[#This Row],[Región]],AUX_REGION[],2,0)</f>
        <v>Minera del Norte</v>
      </c>
      <c r="C85" t="s">
        <v>17</v>
      </c>
      <c r="D85" t="s">
        <v>18</v>
      </c>
      <c r="E85" t="s">
        <v>19</v>
      </c>
      <c r="F85" t="s">
        <v>26</v>
      </c>
      <c r="G85" t="s">
        <v>20</v>
      </c>
      <c r="H85" s="23">
        <v>4600.6400000000003</v>
      </c>
      <c r="I85" s="23">
        <v>2485.36</v>
      </c>
      <c r="J85" s="23">
        <v>38368.67</v>
      </c>
      <c r="K85" s="23">
        <v>1240.3499999999999</v>
      </c>
      <c r="L85" s="10">
        <v>19566254610</v>
      </c>
      <c r="M85" s="9">
        <v>108169518150</v>
      </c>
      <c r="N85" s="12">
        <f xml:space="preserve"> Tb_prod[[#This Row],[Costo_Mantenimiento_CLP]] / Tb_prod[[#This Row],[Dias_Operación_Mes]]</f>
        <v>889375209.5454545</v>
      </c>
      <c r="O85" s="11">
        <f>Tb_prod[[#This Row],[Costo_Operativo_CLP]] / Tb_prod[[#This Row],[Producción_Toneladas]]</f>
        <v>23511841.428583849</v>
      </c>
      <c r="P85">
        <v>217</v>
      </c>
      <c r="Q85">
        <v>22</v>
      </c>
      <c r="R85" s="6">
        <v>45939</v>
      </c>
      <c r="S85" t="str">
        <f t="shared" si="2"/>
        <v>jueves</v>
      </c>
      <c r="T85" t="str">
        <f t="shared" si="3"/>
        <v>octubre</v>
      </c>
      <c r="U85">
        <v>88.3</v>
      </c>
      <c r="V85">
        <f xml:space="preserve"> Tb_prod[[#This Row],[Emisiones_CO2_ton]] / Tb_prod[[#This Row],[Cantidad_Empleados]]</f>
        <v>5.7158986175115203</v>
      </c>
      <c r="W85" t="str">
        <f>IF(Tb_prod[[#This Row],[Recuperación_Metal_Porcentaje]]&gt;90,"Alta",IF(Tb_prod[[#This Row],[Recuperación_Metal_Porcentaje]]&gt;75,"Media","Baja"))</f>
        <v>Media</v>
      </c>
      <c r="X85" t="str">
        <f>IF(AND(Tb_prod[[#This Row],[Consumo_Energia_MWh]]&lt;=2000,Tb_prod[[#This Row],[Riesgo_Ambiental]]="Alto"),"Crítica","Normal")</f>
        <v>Normal</v>
      </c>
    </row>
    <row r="86" spans="1:24">
      <c r="A86">
        <v>387</v>
      </c>
      <c r="B86" t="str">
        <f>VLOOKUP(Tb_prod[[#This Row],[Región]],AUX_REGION[],2,0)</f>
        <v>Minera del Norte</v>
      </c>
      <c r="C86" t="s">
        <v>25</v>
      </c>
      <c r="D86" t="s">
        <v>18</v>
      </c>
      <c r="E86" t="s">
        <v>14</v>
      </c>
      <c r="F86" t="s">
        <v>24</v>
      </c>
      <c r="G86" t="s">
        <v>16</v>
      </c>
      <c r="H86" s="23">
        <v>1773.16</v>
      </c>
      <c r="I86" s="23">
        <v>2228.0500000000002</v>
      </c>
      <c r="J86" s="23">
        <v>38414.97</v>
      </c>
      <c r="K86" s="23">
        <v>1465.35</v>
      </c>
      <c r="L86" s="10">
        <v>10084877730</v>
      </c>
      <c r="M86" s="9">
        <v>1800311635980</v>
      </c>
      <c r="N86" s="12">
        <f xml:space="preserve"> Tb_prod[[#This Row],[Costo_Mantenimiento_CLP]] / Tb_prod[[#This Row],[Dias_Operación_Mes]]</f>
        <v>504243886.5</v>
      </c>
      <c r="O86" s="11">
        <f>Tb_prod[[#This Row],[Costo_Operativo_CLP]] / Tb_prod[[#This Row],[Producción_Toneladas]]</f>
        <v>1015312569.6383857</v>
      </c>
      <c r="P86">
        <v>233</v>
      </c>
      <c r="Q86">
        <v>20</v>
      </c>
      <c r="R86" s="6">
        <v>45822</v>
      </c>
      <c r="S86" t="str">
        <f t="shared" si="2"/>
        <v>sábado</v>
      </c>
      <c r="T86" t="str">
        <f t="shared" si="3"/>
        <v>junio</v>
      </c>
      <c r="U86">
        <v>79.62</v>
      </c>
      <c r="V86">
        <f xml:space="preserve"> Tb_prod[[#This Row],[Emisiones_CO2_ton]] / Tb_prod[[#This Row],[Cantidad_Empleados]]</f>
        <v>6.289055793991416</v>
      </c>
      <c r="W86" t="str">
        <f>IF(Tb_prod[[#This Row],[Recuperación_Metal_Porcentaje]]&gt;90,"Alta",IF(Tb_prod[[#This Row],[Recuperación_Metal_Porcentaje]]&gt;75,"Media","Baja"))</f>
        <v>Media</v>
      </c>
      <c r="X86" t="str">
        <f>IF(AND(Tb_prod[[#This Row],[Consumo_Energia_MWh]]&lt;=2000,Tb_prod[[#This Row],[Riesgo_Ambiental]]="Alto"),"Crítica","Normal")</f>
        <v>Normal</v>
      </c>
    </row>
    <row r="87" spans="1:24">
      <c r="A87">
        <v>23</v>
      </c>
      <c r="B87" t="str">
        <f>VLOOKUP(Tb_prod[[#This Row],[Región]],AUX_REGION[],2,0)</f>
        <v>Minera del Norte</v>
      </c>
      <c r="C87" t="s">
        <v>12</v>
      </c>
      <c r="D87" t="s">
        <v>18</v>
      </c>
      <c r="E87" t="s">
        <v>19</v>
      </c>
      <c r="F87" t="s">
        <v>15</v>
      </c>
      <c r="G87" t="s">
        <v>16</v>
      </c>
      <c r="H87" s="23">
        <v>5059.6099999999997</v>
      </c>
      <c r="I87" s="23">
        <v>1305.95</v>
      </c>
      <c r="J87" s="23">
        <v>38415.67</v>
      </c>
      <c r="K87" s="23">
        <v>586.98</v>
      </c>
      <c r="L87" s="10">
        <v>12587136480</v>
      </c>
      <c r="M87" s="9">
        <v>74950435980</v>
      </c>
      <c r="N87" s="12">
        <f xml:space="preserve"> Tb_prod[[#This Row],[Costo_Mantenimiento_CLP]] / Tb_prod[[#This Row],[Dias_Operación_Mes]]</f>
        <v>503485459.19999999</v>
      </c>
      <c r="O87" s="11">
        <f>Tb_prod[[#This Row],[Costo_Operativo_CLP]] / Tb_prod[[#This Row],[Producción_Toneladas]]</f>
        <v>14813480.876984591</v>
      </c>
      <c r="P87">
        <v>206</v>
      </c>
      <c r="Q87">
        <v>25</v>
      </c>
      <c r="R87" s="6">
        <v>45043</v>
      </c>
      <c r="S87" t="str">
        <f t="shared" si="2"/>
        <v>jueves</v>
      </c>
      <c r="T87" t="str">
        <f t="shared" si="3"/>
        <v>abril</v>
      </c>
      <c r="U87">
        <v>74.17</v>
      </c>
      <c r="V87">
        <f xml:space="preserve"> Tb_prod[[#This Row],[Emisiones_CO2_ton]] / Tb_prod[[#This Row],[Cantidad_Empleados]]</f>
        <v>2.8494174757281554</v>
      </c>
      <c r="W87" t="str">
        <f>IF(Tb_prod[[#This Row],[Recuperación_Metal_Porcentaje]]&gt;90,"Alta",IF(Tb_prod[[#This Row],[Recuperación_Metal_Porcentaje]]&gt;75,"Media","Baja"))</f>
        <v>Baja</v>
      </c>
      <c r="X87" t="str">
        <f>IF(AND(Tb_prod[[#This Row],[Consumo_Energia_MWh]]&lt;=2000,Tb_prod[[#This Row],[Riesgo_Ambiental]]="Alto"),"Crítica","Normal")</f>
        <v>Normal</v>
      </c>
    </row>
    <row r="88" spans="1:24">
      <c r="A88">
        <v>454</v>
      </c>
      <c r="B88" t="str">
        <f>VLOOKUP(Tb_prod[[#This Row],[Región]],AUX_REGION[],2,0)</f>
        <v>Minera del Norte</v>
      </c>
      <c r="C88" t="s">
        <v>17</v>
      </c>
      <c r="D88" t="s">
        <v>18</v>
      </c>
      <c r="E88" t="s">
        <v>19</v>
      </c>
      <c r="F88" t="s">
        <v>15</v>
      </c>
      <c r="G88" t="s">
        <v>16</v>
      </c>
      <c r="H88" s="23">
        <v>3308.74</v>
      </c>
      <c r="I88" s="23">
        <v>1207.4000000000001</v>
      </c>
      <c r="J88" s="23">
        <v>38882.129999999997</v>
      </c>
      <c r="K88" s="23">
        <v>580.44000000000005</v>
      </c>
      <c r="L88" s="10">
        <v>8442744120</v>
      </c>
      <c r="M88" s="9">
        <v>95235367590</v>
      </c>
      <c r="N88" s="12">
        <f xml:space="preserve"> Tb_prod[[#This Row],[Costo_Mantenimiento_CLP]] / Tb_prod[[#This Row],[Dias_Operación_Mes]]</f>
        <v>281424804</v>
      </c>
      <c r="O88" s="11">
        <f>Tb_prod[[#This Row],[Costo_Operativo_CLP]] / Tb_prod[[#This Row],[Producción_Toneladas]]</f>
        <v>28782971.037313301</v>
      </c>
      <c r="P88">
        <v>75</v>
      </c>
      <c r="Q88">
        <v>30</v>
      </c>
      <c r="R88" s="6">
        <v>45560</v>
      </c>
      <c r="S88" t="str">
        <f t="shared" si="2"/>
        <v>miércoles</v>
      </c>
      <c r="T88" t="str">
        <f t="shared" si="3"/>
        <v>septiembre</v>
      </c>
      <c r="U88">
        <v>74.91</v>
      </c>
      <c r="V88">
        <f xml:space="preserve"> Tb_prod[[#This Row],[Emisiones_CO2_ton]] / Tb_prod[[#This Row],[Cantidad_Empleados]]</f>
        <v>7.7392000000000003</v>
      </c>
      <c r="W88" t="str">
        <f>IF(Tb_prod[[#This Row],[Recuperación_Metal_Porcentaje]]&gt;90,"Alta",IF(Tb_prod[[#This Row],[Recuperación_Metal_Porcentaje]]&gt;75,"Media","Baja"))</f>
        <v>Baja</v>
      </c>
      <c r="X88" t="str">
        <f>IF(AND(Tb_prod[[#This Row],[Consumo_Energia_MWh]]&lt;=2000,Tb_prod[[#This Row],[Riesgo_Ambiental]]="Alto"),"Crítica","Normal")</f>
        <v>Normal</v>
      </c>
    </row>
    <row r="89" spans="1:24">
      <c r="A89">
        <v>266</v>
      </c>
      <c r="B89" t="str">
        <f>VLOOKUP(Tb_prod[[#This Row],[Región]],AUX_REGION[],2,0)</f>
        <v>Minera Romero</v>
      </c>
      <c r="C89" t="s">
        <v>27</v>
      </c>
      <c r="D89" t="s">
        <v>23</v>
      </c>
      <c r="E89" t="s">
        <v>14</v>
      </c>
      <c r="F89" t="s">
        <v>24</v>
      </c>
      <c r="G89" t="s">
        <v>22</v>
      </c>
      <c r="H89" s="23">
        <v>5754.18</v>
      </c>
      <c r="I89" s="23">
        <v>2418.9499999999998</v>
      </c>
      <c r="J89" s="23">
        <v>38928.89</v>
      </c>
      <c r="K89" s="23">
        <v>735.57</v>
      </c>
      <c r="L89" s="10">
        <v>24121754910</v>
      </c>
      <c r="M89" s="9">
        <v>117024817320</v>
      </c>
      <c r="N89" s="12">
        <f xml:space="preserve"> Tb_prod[[#This Row],[Costo_Mantenimiento_CLP]] / Tb_prod[[#This Row],[Dias_Operación_Mes]]</f>
        <v>1096443405</v>
      </c>
      <c r="O89" s="11">
        <f>Tb_prod[[#This Row],[Costo_Operativo_CLP]] / Tb_prod[[#This Row],[Producción_Toneladas]]</f>
        <v>20337357.767744489</v>
      </c>
      <c r="P89">
        <v>267</v>
      </c>
      <c r="Q89">
        <v>22</v>
      </c>
      <c r="R89" s="6">
        <v>45661</v>
      </c>
      <c r="S89" t="str">
        <f t="shared" si="2"/>
        <v>sábado</v>
      </c>
      <c r="T89" t="str">
        <f t="shared" si="3"/>
        <v>enero</v>
      </c>
      <c r="U89">
        <v>79.819999999999993</v>
      </c>
      <c r="V89">
        <f xml:space="preserve"> Tb_prod[[#This Row],[Emisiones_CO2_ton]] / Tb_prod[[#This Row],[Cantidad_Empleados]]</f>
        <v>2.7549438202247192</v>
      </c>
      <c r="W89" t="str">
        <f>IF(Tb_prod[[#This Row],[Recuperación_Metal_Porcentaje]]&gt;90,"Alta",IF(Tb_prod[[#This Row],[Recuperación_Metal_Porcentaje]]&gt;75,"Media","Baja"))</f>
        <v>Media</v>
      </c>
      <c r="X89" t="str">
        <f>IF(AND(Tb_prod[[#This Row],[Consumo_Energia_MWh]]&lt;=2000,Tb_prod[[#This Row],[Riesgo_Ambiental]]="Alto"),"Crítica","Normal")</f>
        <v>Normal</v>
      </c>
    </row>
    <row r="90" spans="1:24">
      <c r="A90">
        <v>19</v>
      </c>
      <c r="B90" t="str">
        <f>VLOOKUP(Tb_prod[[#This Row],[Región]],AUX_REGION[],2,0)</f>
        <v>Minera del Norte</v>
      </c>
      <c r="C90" t="s">
        <v>27</v>
      </c>
      <c r="D90" t="s">
        <v>18</v>
      </c>
      <c r="E90" t="s">
        <v>14</v>
      </c>
      <c r="F90" t="s">
        <v>15</v>
      </c>
      <c r="G90" t="s">
        <v>20</v>
      </c>
      <c r="H90" s="23">
        <v>6037.43</v>
      </c>
      <c r="I90" s="23">
        <v>2093.2600000000002</v>
      </c>
      <c r="J90" s="23">
        <v>39009.230000000003</v>
      </c>
      <c r="K90" s="23">
        <v>828.8</v>
      </c>
      <c r="L90" s="10">
        <v>16640947800</v>
      </c>
      <c r="M90" s="9">
        <v>79374923280</v>
      </c>
      <c r="N90" s="12">
        <f xml:space="preserve"> Tb_prod[[#This Row],[Costo_Mantenimiento_CLP]] / Tb_prod[[#This Row],[Dias_Operación_Mes]]</f>
        <v>554698260</v>
      </c>
      <c r="O90" s="11">
        <f>Tb_prod[[#This Row],[Costo_Operativo_CLP]] / Tb_prod[[#This Row],[Producción_Toneladas]]</f>
        <v>13147137.652941732</v>
      </c>
      <c r="P90">
        <v>66</v>
      </c>
      <c r="Q90">
        <v>30</v>
      </c>
      <c r="R90" s="6">
        <v>45437</v>
      </c>
      <c r="S90" t="str">
        <f t="shared" si="2"/>
        <v>sábado</v>
      </c>
      <c r="T90" t="str">
        <f t="shared" si="3"/>
        <v>mayo</v>
      </c>
      <c r="U90">
        <v>96.28</v>
      </c>
      <c r="V90">
        <f xml:space="preserve"> Tb_prod[[#This Row],[Emisiones_CO2_ton]] / Tb_prod[[#This Row],[Cantidad_Empleados]]</f>
        <v>12.557575757575757</v>
      </c>
      <c r="W90" t="str">
        <f>IF(Tb_prod[[#This Row],[Recuperación_Metal_Porcentaje]]&gt;90,"Alta",IF(Tb_prod[[#This Row],[Recuperación_Metal_Porcentaje]]&gt;75,"Media","Baja"))</f>
        <v>Alta</v>
      </c>
      <c r="X90" t="str">
        <f>IF(AND(Tb_prod[[#This Row],[Consumo_Energia_MWh]]&lt;=2000,Tb_prod[[#This Row],[Riesgo_Ambiental]]="Alto"),"Crítica","Normal")</f>
        <v>Normal</v>
      </c>
    </row>
    <row r="91" spans="1:24">
      <c r="A91">
        <v>484</v>
      </c>
      <c r="B91" t="str">
        <f>VLOOKUP(Tb_prod[[#This Row],[Región]],AUX_REGION[],2,0)</f>
        <v>Minera Romero</v>
      </c>
      <c r="C91" t="s">
        <v>17</v>
      </c>
      <c r="D91" t="s">
        <v>23</v>
      </c>
      <c r="E91" t="s">
        <v>19</v>
      </c>
      <c r="F91" t="s">
        <v>15</v>
      </c>
      <c r="G91" t="s">
        <v>22</v>
      </c>
      <c r="H91" s="23">
        <v>2672.7</v>
      </c>
      <c r="I91" s="23">
        <v>984.73</v>
      </c>
      <c r="J91" s="23">
        <v>39059.879999999997</v>
      </c>
      <c r="K91" s="23">
        <v>1089.93</v>
      </c>
      <c r="L91" s="10">
        <v>42209741340</v>
      </c>
      <c r="M91" s="9">
        <v>161665462080</v>
      </c>
      <c r="N91" s="12">
        <f xml:space="preserve"> Tb_prod[[#This Row],[Costo_Mantenimiento_CLP]] / Tb_prod[[#This Row],[Dias_Operación_Mes]]</f>
        <v>1623451590</v>
      </c>
      <c r="O91" s="11">
        <f>Tb_prod[[#This Row],[Costo_Operativo_CLP]] / Tb_prod[[#This Row],[Producción_Toneladas]]</f>
        <v>60487694.870355822</v>
      </c>
      <c r="P91">
        <v>136</v>
      </c>
      <c r="Q91">
        <v>26</v>
      </c>
      <c r="R91" s="6">
        <v>44984</v>
      </c>
      <c r="S91" t="str">
        <f t="shared" si="2"/>
        <v>lunes</v>
      </c>
      <c r="T91" t="str">
        <f t="shared" si="3"/>
        <v>febrero</v>
      </c>
      <c r="U91">
        <v>92.48</v>
      </c>
      <c r="V91">
        <f xml:space="preserve"> Tb_prod[[#This Row],[Emisiones_CO2_ton]] / Tb_prod[[#This Row],[Cantidad_Empleados]]</f>
        <v>8.0141911764705895</v>
      </c>
      <c r="W91" t="str">
        <f>IF(Tb_prod[[#This Row],[Recuperación_Metal_Porcentaje]]&gt;90,"Alta",IF(Tb_prod[[#This Row],[Recuperación_Metal_Porcentaje]]&gt;75,"Media","Baja"))</f>
        <v>Alta</v>
      </c>
      <c r="X91" t="str">
        <f>IF(AND(Tb_prod[[#This Row],[Consumo_Energia_MWh]]&lt;=2000,Tb_prod[[#This Row],[Riesgo_Ambiental]]="Alto"),"Crítica","Normal")</f>
        <v>Normal</v>
      </c>
    </row>
    <row r="92" spans="1:24">
      <c r="A92">
        <v>43</v>
      </c>
      <c r="B92" t="str">
        <f>VLOOKUP(Tb_prod[[#This Row],[Región]],AUX_REGION[],2,0)</f>
        <v>Minera Romero</v>
      </c>
      <c r="C92" t="s">
        <v>12</v>
      </c>
      <c r="D92" t="s">
        <v>23</v>
      </c>
      <c r="E92" t="s">
        <v>14</v>
      </c>
      <c r="F92" t="s">
        <v>26</v>
      </c>
      <c r="G92" t="s">
        <v>22</v>
      </c>
      <c r="H92" s="23">
        <v>8286.6</v>
      </c>
      <c r="I92" s="23">
        <v>2346.87</v>
      </c>
      <c r="J92" s="23">
        <v>39088.879999999997</v>
      </c>
      <c r="K92" s="23">
        <v>985.42</v>
      </c>
      <c r="L92" s="10">
        <v>36077350320</v>
      </c>
      <c r="M92" s="9">
        <v>149578135470</v>
      </c>
      <c r="N92" s="12">
        <f xml:space="preserve"> Tb_prod[[#This Row],[Costo_Mantenimiento_CLP]] / Tb_prod[[#This Row],[Dias_Operación_Mes]]</f>
        <v>1443094012.8</v>
      </c>
      <c r="O92" s="11">
        <f>Tb_prod[[#This Row],[Costo_Operativo_CLP]] / Tb_prod[[#This Row],[Producción_Toneladas]]</f>
        <v>18050604.043878067</v>
      </c>
      <c r="P92">
        <v>180</v>
      </c>
      <c r="Q92">
        <v>25</v>
      </c>
      <c r="R92" s="6">
        <v>45107</v>
      </c>
      <c r="S92" t="str">
        <f t="shared" si="2"/>
        <v>viernes</v>
      </c>
      <c r="T92" t="str">
        <f t="shared" si="3"/>
        <v>junio</v>
      </c>
      <c r="U92">
        <v>81.319999999999993</v>
      </c>
      <c r="V92">
        <f xml:space="preserve"> Tb_prod[[#This Row],[Emisiones_CO2_ton]] / Tb_prod[[#This Row],[Cantidad_Empleados]]</f>
        <v>5.474555555555555</v>
      </c>
      <c r="W92" t="str">
        <f>IF(Tb_prod[[#This Row],[Recuperación_Metal_Porcentaje]]&gt;90,"Alta",IF(Tb_prod[[#This Row],[Recuperación_Metal_Porcentaje]]&gt;75,"Media","Baja"))</f>
        <v>Media</v>
      </c>
      <c r="X92" t="str">
        <f>IF(AND(Tb_prod[[#This Row],[Consumo_Energia_MWh]]&lt;=2000,Tb_prod[[#This Row],[Riesgo_Ambiental]]="Alto"),"Crítica","Normal")</f>
        <v>Normal</v>
      </c>
    </row>
    <row r="93" spans="1:24">
      <c r="A93">
        <v>495</v>
      </c>
      <c r="B93" t="str">
        <f>VLOOKUP(Tb_prod[[#This Row],[Región]],AUX_REGION[],2,0)</f>
        <v>Minera del Norte</v>
      </c>
      <c r="C93" t="s">
        <v>17</v>
      </c>
      <c r="D93" t="s">
        <v>18</v>
      </c>
      <c r="E93" t="s">
        <v>14</v>
      </c>
      <c r="F93" t="s">
        <v>15</v>
      </c>
      <c r="G93" t="s">
        <v>22</v>
      </c>
      <c r="H93" s="23">
        <v>2750.62</v>
      </c>
      <c r="I93" s="23">
        <v>1689.25</v>
      </c>
      <c r="J93" s="23">
        <v>39148.33</v>
      </c>
      <c r="K93" s="23">
        <v>1012.52</v>
      </c>
      <c r="L93" s="10">
        <v>44820730530</v>
      </c>
      <c r="M93" s="9">
        <v>99690298920</v>
      </c>
      <c r="N93" s="12">
        <f xml:space="preserve"> Tb_prod[[#This Row],[Costo_Mantenimiento_CLP]] / Tb_prod[[#This Row],[Dias_Operación_Mes]]</f>
        <v>1723874251.1538463</v>
      </c>
      <c r="O93" s="11">
        <f>Tb_prod[[#This Row],[Costo_Operativo_CLP]] / Tb_prod[[#This Row],[Producción_Toneladas]]</f>
        <v>36242846.674567915</v>
      </c>
      <c r="P93">
        <v>198</v>
      </c>
      <c r="Q93">
        <v>26</v>
      </c>
      <c r="R93" s="6">
        <v>45930</v>
      </c>
      <c r="S93" t="str">
        <f t="shared" si="2"/>
        <v>martes</v>
      </c>
      <c r="T93" t="str">
        <f t="shared" si="3"/>
        <v>septiembre</v>
      </c>
      <c r="U93">
        <v>72.97</v>
      </c>
      <c r="V93">
        <f xml:space="preserve"> Tb_prod[[#This Row],[Emisiones_CO2_ton]] / Tb_prod[[#This Row],[Cantidad_Empleados]]</f>
        <v>5.1137373737373739</v>
      </c>
      <c r="W93" t="str">
        <f>IF(Tb_prod[[#This Row],[Recuperación_Metal_Porcentaje]]&gt;90,"Alta",IF(Tb_prod[[#This Row],[Recuperación_Metal_Porcentaje]]&gt;75,"Media","Baja"))</f>
        <v>Baja</v>
      </c>
      <c r="X93" t="str">
        <f>IF(AND(Tb_prod[[#This Row],[Consumo_Energia_MWh]]&lt;=2000,Tb_prod[[#This Row],[Riesgo_Ambiental]]="Alto"),"Crítica","Normal")</f>
        <v>Normal</v>
      </c>
    </row>
    <row r="94" spans="1:24">
      <c r="A94">
        <v>179</v>
      </c>
      <c r="B94" t="str">
        <f>VLOOKUP(Tb_prod[[#This Row],[Región]],AUX_REGION[],2,0)</f>
        <v>Minera Romero</v>
      </c>
      <c r="C94" t="s">
        <v>17</v>
      </c>
      <c r="D94" t="s">
        <v>23</v>
      </c>
      <c r="E94" t="s">
        <v>19</v>
      </c>
      <c r="F94" t="s">
        <v>26</v>
      </c>
      <c r="G94" t="s">
        <v>20</v>
      </c>
      <c r="H94" s="23">
        <v>3325.12</v>
      </c>
      <c r="I94" s="23">
        <v>1272.53</v>
      </c>
      <c r="J94" s="23">
        <v>39194.85</v>
      </c>
      <c r="K94" s="23">
        <v>1138.0999999999999</v>
      </c>
      <c r="L94" s="10">
        <v>28624716000</v>
      </c>
      <c r="M94" s="9">
        <v>40158600000</v>
      </c>
      <c r="N94" s="12">
        <f xml:space="preserve"> Tb_prod[[#This Row],[Costo_Mantenimiento_CLP]] / Tb_prod[[#This Row],[Dias_Operación_Mes]]</f>
        <v>987059172.41379309</v>
      </c>
      <c r="O94" s="11">
        <f>Tb_prod[[#This Row],[Costo_Operativo_CLP]] / Tb_prod[[#This Row],[Producción_Toneladas]]</f>
        <v>12077338.562217304</v>
      </c>
      <c r="P94">
        <v>139</v>
      </c>
      <c r="Q94">
        <v>29</v>
      </c>
      <c r="R94" s="6">
        <v>45567</v>
      </c>
      <c r="S94" t="str">
        <f t="shared" si="2"/>
        <v>miércoles</v>
      </c>
      <c r="T94" t="str">
        <f t="shared" si="3"/>
        <v>octubre</v>
      </c>
      <c r="U94">
        <v>76.3</v>
      </c>
      <c r="V94">
        <f xml:space="preserve"> Tb_prod[[#This Row],[Emisiones_CO2_ton]] / Tb_prod[[#This Row],[Cantidad_Empleados]]</f>
        <v>8.1877697841726604</v>
      </c>
      <c r="W94" t="str">
        <f>IF(Tb_prod[[#This Row],[Recuperación_Metal_Porcentaje]]&gt;90,"Alta",IF(Tb_prod[[#This Row],[Recuperación_Metal_Porcentaje]]&gt;75,"Media","Baja"))</f>
        <v>Media</v>
      </c>
      <c r="X94" t="str">
        <f>IF(AND(Tb_prod[[#This Row],[Consumo_Energia_MWh]]&lt;=2000,Tb_prod[[#This Row],[Riesgo_Ambiental]]="Alto"),"Crítica","Normal")</f>
        <v>Crítica</v>
      </c>
    </row>
    <row r="95" spans="1:24">
      <c r="A95">
        <v>38</v>
      </c>
      <c r="B95" t="str">
        <f>VLOOKUP(Tb_prod[[#This Row],[Región]],AUX_REGION[],2,0)</f>
        <v>Minera Romero</v>
      </c>
      <c r="C95" t="s">
        <v>17</v>
      </c>
      <c r="D95" t="s">
        <v>23</v>
      </c>
      <c r="E95" t="s">
        <v>19</v>
      </c>
      <c r="F95" t="s">
        <v>15</v>
      </c>
      <c r="G95" t="s">
        <v>20</v>
      </c>
      <c r="H95" s="23">
        <v>3554.29</v>
      </c>
      <c r="I95" s="23">
        <v>2408.39</v>
      </c>
      <c r="J95" s="23">
        <v>39207.51</v>
      </c>
      <c r="K95" s="23">
        <v>1099.05</v>
      </c>
      <c r="L95" s="10">
        <v>43263731700</v>
      </c>
      <c r="M95" s="9">
        <v>99144524790</v>
      </c>
      <c r="N95" s="12">
        <f xml:space="preserve"> Tb_prod[[#This Row],[Costo_Mantenimiento_CLP]] / Tb_prod[[#This Row],[Dias_Operación_Mes]]</f>
        <v>1802655487.5</v>
      </c>
      <c r="O95" s="11">
        <f>Tb_prod[[#This Row],[Costo_Operativo_CLP]] / Tb_prod[[#This Row],[Producción_Toneladas]]</f>
        <v>27894326.233931389</v>
      </c>
      <c r="P95">
        <v>209</v>
      </c>
      <c r="Q95">
        <v>24</v>
      </c>
      <c r="R95" s="6">
        <v>44940</v>
      </c>
      <c r="S95" t="str">
        <f t="shared" si="2"/>
        <v>sábado</v>
      </c>
      <c r="T95" t="str">
        <f t="shared" si="3"/>
        <v>enero</v>
      </c>
      <c r="U95">
        <v>78.7</v>
      </c>
      <c r="V95">
        <f xml:space="preserve"> Tb_prod[[#This Row],[Emisiones_CO2_ton]] / Tb_prod[[#This Row],[Cantidad_Empleados]]</f>
        <v>5.2586124401913876</v>
      </c>
      <c r="W95" t="str">
        <f>IF(Tb_prod[[#This Row],[Recuperación_Metal_Porcentaje]]&gt;90,"Alta",IF(Tb_prod[[#This Row],[Recuperación_Metal_Porcentaje]]&gt;75,"Media","Baja"))</f>
        <v>Media</v>
      </c>
      <c r="X95" t="str">
        <f>IF(AND(Tb_prod[[#This Row],[Consumo_Energia_MWh]]&lt;=2000,Tb_prod[[#This Row],[Riesgo_Ambiental]]="Alto"),"Crítica","Normal")</f>
        <v>Normal</v>
      </c>
    </row>
    <row r="96" spans="1:24">
      <c r="A96">
        <v>228</v>
      </c>
      <c r="B96" t="str">
        <f>VLOOKUP(Tb_prod[[#This Row],[Región]],AUX_REGION[],2,0)</f>
        <v>Minera Staff</v>
      </c>
      <c r="C96" t="s">
        <v>25</v>
      </c>
      <c r="D96" t="s">
        <v>13</v>
      </c>
      <c r="E96" t="s">
        <v>19</v>
      </c>
      <c r="F96" t="s">
        <v>26</v>
      </c>
      <c r="G96" t="s">
        <v>20</v>
      </c>
      <c r="H96" s="23">
        <v>5199.17</v>
      </c>
      <c r="I96" s="23">
        <v>2673.31</v>
      </c>
      <c r="J96" s="23">
        <v>39229.199999999997</v>
      </c>
      <c r="K96" s="23">
        <v>1106.03</v>
      </c>
      <c r="L96" s="10">
        <v>24753263940</v>
      </c>
      <c r="M96" s="9">
        <v>143260175880</v>
      </c>
      <c r="N96" s="12">
        <f xml:space="preserve"> Tb_prod[[#This Row],[Costo_Mantenimiento_CLP]] / Tb_prod[[#This Row],[Dias_Operación_Mes]]</f>
        <v>1125148360.909091</v>
      </c>
      <c r="O96" s="11">
        <f>Tb_prod[[#This Row],[Costo_Operativo_CLP]] / Tb_prod[[#This Row],[Producción_Toneladas]]</f>
        <v>27554431.934327979</v>
      </c>
      <c r="P96">
        <v>176</v>
      </c>
      <c r="Q96">
        <v>22</v>
      </c>
      <c r="R96" s="6">
        <v>45364</v>
      </c>
      <c r="S96" t="str">
        <f t="shared" si="2"/>
        <v>miércoles</v>
      </c>
      <c r="T96" t="str">
        <f t="shared" si="3"/>
        <v>marzo</v>
      </c>
      <c r="U96">
        <v>77.56</v>
      </c>
      <c r="V96">
        <f xml:space="preserve"> Tb_prod[[#This Row],[Emisiones_CO2_ton]] / Tb_prod[[#This Row],[Cantidad_Empleados]]</f>
        <v>6.2842613636363636</v>
      </c>
      <c r="W96" t="str">
        <f>IF(Tb_prod[[#This Row],[Recuperación_Metal_Porcentaje]]&gt;90,"Alta",IF(Tb_prod[[#This Row],[Recuperación_Metal_Porcentaje]]&gt;75,"Media","Baja"))</f>
        <v>Media</v>
      </c>
      <c r="X96" t="str">
        <f>IF(AND(Tb_prod[[#This Row],[Consumo_Energia_MWh]]&lt;=2000,Tb_prod[[#This Row],[Riesgo_Ambiental]]="Alto"),"Crítica","Normal")</f>
        <v>Normal</v>
      </c>
    </row>
    <row r="97" spans="1:24">
      <c r="A97">
        <v>306</v>
      </c>
      <c r="B97" t="str">
        <f>VLOOKUP(Tb_prod[[#This Row],[Región]],AUX_REGION[],2,0)</f>
        <v>Minera del Norte</v>
      </c>
      <c r="C97" t="s">
        <v>12</v>
      </c>
      <c r="D97" t="s">
        <v>18</v>
      </c>
      <c r="E97" t="s">
        <v>19</v>
      </c>
      <c r="F97" t="s">
        <v>24</v>
      </c>
      <c r="G97" t="s">
        <v>20</v>
      </c>
      <c r="H97" s="23">
        <v>4859.3500000000004</v>
      </c>
      <c r="I97" s="23">
        <v>1706.61</v>
      </c>
      <c r="J97" s="23">
        <v>39277.68</v>
      </c>
      <c r="K97" s="23">
        <v>717.81</v>
      </c>
      <c r="L97" s="10">
        <v>13331773980</v>
      </c>
      <c r="M97" s="9">
        <v>111856761270</v>
      </c>
      <c r="N97" s="12">
        <f xml:space="preserve"> Tb_prod[[#This Row],[Costo_Mantenimiento_CLP]] / Tb_prod[[#This Row],[Dias_Operación_Mes]]</f>
        <v>605989726.36363637</v>
      </c>
      <c r="O97" s="11">
        <f>Tb_prod[[#This Row],[Costo_Operativo_CLP]] / Tb_prod[[#This Row],[Producción_Toneladas]]</f>
        <v>23018873.155874755</v>
      </c>
      <c r="P97">
        <v>157</v>
      </c>
      <c r="Q97">
        <v>22</v>
      </c>
      <c r="R97" s="6">
        <v>45180</v>
      </c>
      <c r="S97" t="str">
        <f t="shared" si="2"/>
        <v>lunes</v>
      </c>
      <c r="T97" t="str">
        <f t="shared" si="3"/>
        <v>septiembre</v>
      </c>
      <c r="U97">
        <v>93.73</v>
      </c>
      <c r="V97">
        <f xml:space="preserve"> Tb_prod[[#This Row],[Emisiones_CO2_ton]] / Tb_prod[[#This Row],[Cantidad_Empleados]]</f>
        <v>4.5720382165605091</v>
      </c>
      <c r="W97" t="str">
        <f>IF(Tb_prod[[#This Row],[Recuperación_Metal_Porcentaje]]&gt;90,"Alta",IF(Tb_prod[[#This Row],[Recuperación_Metal_Porcentaje]]&gt;75,"Media","Baja"))</f>
        <v>Alta</v>
      </c>
      <c r="X97" t="str">
        <f>IF(AND(Tb_prod[[#This Row],[Consumo_Energia_MWh]]&lt;=2000,Tb_prod[[#This Row],[Riesgo_Ambiental]]="Alto"),"Crítica","Normal")</f>
        <v>Crítica</v>
      </c>
    </row>
    <row r="98" spans="1:24">
      <c r="A98">
        <v>249</v>
      </c>
      <c r="B98" t="str">
        <f>VLOOKUP(Tb_prod[[#This Row],[Región]],AUX_REGION[],2,0)</f>
        <v>Minera Romero</v>
      </c>
      <c r="C98" t="s">
        <v>12</v>
      </c>
      <c r="D98" t="s">
        <v>23</v>
      </c>
      <c r="E98" t="s">
        <v>14</v>
      </c>
      <c r="F98" t="s">
        <v>24</v>
      </c>
      <c r="G98" t="s">
        <v>16</v>
      </c>
      <c r="H98" s="23">
        <v>2663.63</v>
      </c>
      <c r="I98" s="23">
        <v>1988.01</v>
      </c>
      <c r="J98" s="23">
        <v>39351.85</v>
      </c>
      <c r="K98" s="23">
        <v>303.51</v>
      </c>
      <c r="L98" s="10">
        <v>1377173291338.8899</v>
      </c>
      <c r="M98" s="9">
        <v>118738904040</v>
      </c>
      <c r="N98" s="12">
        <f xml:space="preserve"> Tb_prod[[#This Row],[Costo_Mantenimiento_CLP]] / Tb_prod[[#This Row],[Dias_Operación_Mes]]</f>
        <v>45905776377.962997</v>
      </c>
      <c r="O98" s="11">
        <f>Tb_prod[[#This Row],[Costo_Operativo_CLP]] / Tb_prod[[#This Row],[Producción_Toneladas]]</f>
        <v>44577852.044015117</v>
      </c>
      <c r="P98">
        <v>213</v>
      </c>
      <c r="Q98">
        <v>30</v>
      </c>
      <c r="R98" s="6">
        <v>45423</v>
      </c>
      <c r="S98" t="str">
        <f t="shared" si="2"/>
        <v>sábado</v>
      </c>
      <c r="T98" t="str">
        <f t="shared" si="3"/>
        <v>mayo</v>
      </c>
      <c r="U98">
        <v>71.290000000000006</v>
      </c>
      <c r="V98">
        <f xml:space="preserve"> Tb_prod[[#This Row],[Emisiones_CO2_ton]] / Tb_prod[[#This Row],[Cantidad_Empleados]]</f>
        <v>1.4249295774647888</v>
      </c>
      <c r="W98" t="str">
        <f>IF(Tb_prod[[#This Row],[Recuperación_Metal_Porcentaje]]&gt;90,"Alta",IF(Tb_prod[[#This Row],[Recuperación_Metal_Porcentaje]]&gt;75,"Media","Baja"))</f>
        <v>Baja</v>
      </c>
      <c r="X98" t="str">
        <f>IF(AND(Tb_prod[[#This Row],[Consumo_Energia_MWh]]&lt;=2000,Tb_prod[[#This Row],[Riesgo_Ambiental]]="Alto"),"Crítica","Normal")</f>
        <v>Normal</v>
      </c>
    </row>
    <row r="99" spans="1:24">
      <c r="A99">
        <v>71</v>
      </c>
      <c r="B99" t="str">
        <f>VLOOKUP(Tb_prod[[#This Row],[Región]],AUX_REGION[],2,0)</f>
        <v>Minera del Norte</v>
      </c>
      <c r="C99" t="s">
        <v>27</v>
      </c>
      <c r="D99" t="s">
        <v>18</v>
      </c>
      <c r="E99" t="s">
        <v>19</v>
      </c>
      <c r="F99" t="s">
        <v>26</v>
      </c>
      <c r="G99" t="s">
        <v>20</v>
      </c>
      <c r="H99" s="23">
        <v>7606.59</v>
      </c>
      <c r="I99" s="23">
        <v>1662.44</v>
      </c>
      <c r="J99" s="23">
        <v>39410.49</v>
      </c>
      <c r="K99" s="23">
        <v>1686.94</v>
      </c>
      <c r="L99" s="10">
        <v>32670391950</v>
      </c>
      <c r="M99" s="9">
        <v>119147399730</v>
      </c>
      <c r="N99" s="12">
        <f xml:space="preserve"> Tb_prod[[#This Row],[Costo_Mantenimiento_CLP]] / Tb_prod[[#This Row],[Dias_Operación_Mes]]</f>
        <v>1361266331.25</v>
      </c>
      <c r="O99" s="11">
        <f>Tb_prod[[#This Row],[Costo_Operativo_CLP]] / Tb_prod[[#This Row],[Producción_Toneladas]]</f>
        <v>15663707.355069749</v>
      </c>
      <c r="P99">
        <v>150</v>
      </c>
      <c r="Q99">
        <v>24</v>
      </c>
      <c r="R99" s="6">
        <v>45306</v>
      </c>
      <c r="S99" t="str">
        <f t="shared" si="2"/>
        <v>lunes</v>
      </c>
      <c r="T99" t="str">
        <f t="shared" si="3"/>
        <v>enero</v>
      </c>
      <c r="U99">
        <v>91.77</v>
      </c>
      <c r="V99">
        <f xml:space="preserve"> Tb_prod[[#This Row],[Emisiones_CO2_ton]] / Tb_prod[[#This Row],[Cantidad_Empleados]]</f>
        <v>11.246266666666667</v>
      </c>
      <c r="W99" t="str">
        <f>IF(Tb_prod[[#This Row],[Recuperación_Metal_Porcentaje]]&gt;90,"Alta",IF(Tb_prod[[#This Row],[Recuperación_Metal_Porcentaje]]&gt;75,"Media","Baja"))</f>
        <v>Alta</v>
      </c>
      <c r="X99" t="str">
        <f>IF(AND(Tb_prod[[#This Row],[Consumo_Energia_MWh]]&lt;=2000,Tb_prod[[#This Row],[Riesgo_Ambiental]]="Alto"),"Crítica","Normal")</f>
        <v>Crítica</v>
      </c>
    </row>
    <row r="100" spans="1:24">
      <c r="A100">
        <v>468</v>
      </c>
      <c r="B100" t="str">
        <f>VLOOKUP(Tb_prod[[#This Row],[Región]],AUX_REGION[],2,0)</f>
        <v>Minera Staff</v>
      </c>
      <c r="C100" t="s">
        <v>21</v>
      </c>
      <c r="D100" t="s">
        <v>13</v>
      </c>
      <c r="E100" t="s">
        <v>19</v>
      </c>
      <c r="F100" t="s">
        <v>26</v>
      </c>
      <c r="G100" t="s">
        <v>20</v>
      </c>
      <c r="H100" s="23">
        <v>2675.7</v>
      </c>
      <c r="I100" s="23">
        <v>2565.39</v>
      </c>
      <c r="J100" s="23">
        <v>39450.04</v>
      </c>
      <c r="K100" s="23">
        <v>1195.72</v>
      </c>
      <c r="L100" s="10">
        <v>3904467570</v>
      </c>
      <c r="M100" s="9">
        <v>149492344140</v>
      </c>
      <c r="N100" s="12">
        <f xml:space="preserve"> Tb_prod[[#This Row],[Costo_Mantenimiento_CLP]] / Tb_prod[[#This Row],[Dias_Operación_Mes]]</f>
        <v>134636812.75862068</v>
      </c>
      <c r="O100" s="11">
        <f>Tb_prod[[#This Row],[Costo_Operativo_CLP]] / Tb_prod[[#This Row],[Producción_Toneladas]]</f>
        <v>55870368.180289276</v>
      </c>
      <c r="P100">
        <v>64</v>
      </c>
      <c r="Q100">
        <v>29</v>
      </c>
      <c r="R100" s="6">
        <v>45783</v>
      </c>
      <c r="S100" t="str">
        <f t="shared" si="2"/>
        <v>martes</v>
      </c>
      <c r="T100" t="str">
        <f t="shared" si="3"/>
        <v>mayo</v>
      </c>
      <c r="U100">
        <v>95.6</v>
      </c>
      <c r="V100">
        <f xml:space="preserve"> Tb_prod[[#This Row],[Emisiones_CO2_ton]] / Tb_prod[[#This Row],[Cantidad_Empleados]]</f>
        <v>18.683125</v>
      </c>
      <c r="W100" t="str">
        <f>IF(Tb_prod[[#This Row],[Recuperación_Metal_Porcentaje]]&gt;90,"Alta",IF(Tb_prod[[#This Row],[Recuperación_Metal_Porcentaje]]&gt;75,"Media","Baja"))</f>
        <v>Alta</v>
      </c>
      <c r="X100" t="str">
        <f>IF(AND(Tb_prod[[#This Row],[Consumo_Energia_MWh]]&lt;=2000,Tb_prod[[#This Row],[Riesgo_Ambiental]]="Alto"),"Crítica","Normal")</f>
        <v>Normal</v>
      </c>
    </row>
    <row r="101" spans="1:24">
      <c r="A101">
        <v>288</v>
      </c>
      <c r="B101" t="str">
        <f>VLOOKUP(Tb_prod[[#This Row],[Región]],AUX_REGION[],2,0)</f>
        <v>Minera Romero</v>
      </c>
      <c r="C101" t="s">
        <v>17</v>
      </c>
      <c r="D101" t="s">
        <v>23</v>
      </c>
      <c r="E101" t="s">
        <v>14</v>
      </c>
      <c r="F101" t="s">
        <v>26</v>
      </c>
      <c r="G101" t="s">
        <v>22</v>
      </c>
      <c r="H101" s="23">
        <v>2689.37</v>
      </c>
      <c r="I101" s="23">
        <v>1520.3</v>
      </c>
      <c r="J101" s="23">
        <v>39624.769999999997</v>
      </c>
      <c r="K101" s="23">
        <v>1016.99</v>
      </c>
      <c r="L101" s="10">
        <v>30524744430</v>
      </c>
      <c r="M101" s="9">
        <v>27217315710</v>
      </c>
      <c r="N101" s="12">
        <f xml:space="preserve"> Tb_prod[[#This Row],[Costo_Mantenimiento_CLP]] / Tb_prod[[#This Row],[Dias_Operación_Mes]]</f>
        <v>1526237221.5</v>
      </c>
      <c r="O101" s="11">
        <f>Tb_prod[[#This Row],[Costo_Operativo_CLP]] / Tb_prod[[#This Row],[Producción_Toneladas]]</f>
        <v>10120331.419626158</v>
      </c>
      <c r="P101">
        <v>287</v>
      </c>
      <c r="Q101">
        <v>20</v>
      </c>
      <c r="R101" s="6">
        <v>45760</v>
      </c>
      <c r="S101" t="str">
        <f t="shared" si="2"/>
        <v>domingo</v>
      </c>
      <c r="T101" t="str">
        <f t="shared" si="3"/>
        <v>abril</v>
      </c>
      <c r="U101">
        <v>78.66</v>
      </c>
      <c r="V101">
        <f xml:space="preserve"> Tb_prod[[#This Row],[Emisiones_CO2_ton]] / Tb_prod[[#This Row],[Cantidad_Empleados]]</f>
        <v>3.5435191637630661</v>
      </c>
      <c r="W101" t="str">
        <f>IF(Tb_prod[[#This Row],[Recuperación_Metal_Porcentaje]]&gt;90,"Alta",IF(Tb_prod[[#This Row],[Recuperación_Metal_Porcentaje]]&gt;75,"Media","Baja"))</f>
        <v>Media</v>
      </c>
      <c r="X101" t="str">
        <f>IF(AND(Tb_prod[[#This Row],[Consumo_Energia_MWh]]&lt;=2000,Tb_prod[[#This Row],[Riesgo_Ambiental]]="Alto"),"Crítica","Normal")</f>
        <v>Normal</v>
      </c>
    </row>
    <row r="102" spans="1:24">
      <c r="A102">
        <v>51</v>
      </c>
      <c r="B102" t="str">
        <f>VLOOKUP(Tb_prod[[#This Row],[Región]],AUX_REGION[],2,0)</f>
        <v>Minera Staff</v>
      </c>
      <c r="C102" t="s">
        <v>12</v>
      </c>
      <c r="D102" t="s">
        <v>13</v>
      </c>
      <c r="E102" t="s">
        <v>14</v>
      </c>
      <c r="F102" t="s">
        <v>26</v>
      </c>
      <c r="G102" t="s">
        <v>16</v>
      </c>
      <c r="H102" s="23">
        <v>1879.97</v>
      </c>
      <c r="I102" s="23">
        <v>818.51</v>
      </c>
      <c r="J102" s="23">
        <v>39643.58</v>
      </c>
      <c r="K102" s="23">
        <v>717.38</v>
      </c>
      <c r="L102" s="10">
        <v>27286342380</v>
      </c>
      <c r="M102" s="9">
        <v>32753159370</v>
      </c>
      <c r="N102" s="12">
        <f xml:space="preserve"> Tb_prod[[#This Row],[Costo_Mantenimiento_CLP]] / Tb_prod[[#This Row],[Dias_Operación_Mes]]</f>
        <v>909544746</v>
      </c>
      <c r="O102" s="11">
        <f>Tb_prod[[#This Row],[Costo_Operativo_CLP]] / Tb_prod[[#This Row],[Producción_Toneladas]]</f>
        <v>17422171.295286626</v>
      </c>
      <c r="P102">
        <v>105</v>
      </c>
      <c r="Q102">
        <v>30</v>
      </c>
      <c r="R102" s="6">
        <v>45492</v>
      </c>
      <c r="S102" t="str">
        <f t="shared" si="2"/>
        <v>viernes</v>
      </c>
      <c r="T102" t="str">
        <f t="shared" si="3"/>
        <v>julio</v>
      </c>
      <c r="U102">
        <v>70.84</v>
      </c>
      <c r="V102">
        <f xml:space="preserve"> Tb_prod[[#This Row],[Emisiones_CO2_ton]] / Tb_prod[[#This Row],[Cantidad_Empleados]]</f>
        <v>6.8321904761904761</v>
      </c>
      <c r="W102" t="str">
        <f>IF(Tb_prod[[#This Row],[Recuperación_Metal_Porcentaje]]&gt;90,"Alta",IF(Tb_prod[[#This Row],[Recuperación_Metal_Porcentaje]]&gt;75,"Media","Baja"))</f>
        <v>Baja</v>
      </c>
      <c r="X102" t="str">
        <f>IF(AND(Tb_prod[[#This Row],[Consumo_Energia_MWh]]&lt;=2000,Tb_prod[[#This Row],[Riesgo_Ambiental]]="Alto"),"Crítica","Normal")</f>
        <v>Normal</v>
      </c>
    </row>
    <row r="103" spans="1:24">
      <c r="A103">
        <v>18</v>
      </c>
      <c r="B103" t="str">
        <f>VLOOKUP(Tb_prod[[#This Row],[Región]],AUX_REGION[],2,0)</f>
        <v>Minera del Norte</v>
      </c>
      <c r="C103" t="s">
        <v>17</v>
      </c>
      <c r="D103" t="s">
        <v>18</v>
      </c>
      <c r="E103" t="s">
        <v>14</v>
      </c>
      <c r="F103" t="s">
        <v>24</v>
      </c>
      <c r="G103" t="s">
        <v>16</v>
      </c>
      <c r="H103" s="23">
        <v>7918.81</v>
      </c>
      <c r="I103" s="23">
        <v>2201.39</v>
      </c>
      <c r="J103" s="23">
        <v>39663.14</v>
      </c>
      <c r="K103" s="23">
        <v>1070.9000000000001</v>
      </c>
      <c r="L103" s="10">
        <v>29158001280</v>
      </c>
      <c r="M103" s="9">
        <v>17974317240</v>
      </c>
      <c r="N103" s="12">
        <f xml:space="preserve"> Tb_prod[[#This Row],[Costo_Mantenimiento_CLP]] / Tb_prod[[#This Row],[Dias_Operación_Mes]]</f>
        <v>1267739186.0869565</v>
      </c>
      <c r="O103" s="11">
        <f>Tb_prod[[#This Row],[Costo_Operativo_CLP]] / Tb_prod[[#This Row],[Producción_Toneladas]]</f>
        <v>2269825.5470203222</v>
      </c>
      <c r="P103">
        <v>226</v>
      </c>
      <c r="Q103">
        <v>23</v>
      </c>
      <c r="R103" s="6">
        <v>45674</v>
      </c>
      <c r="S103" t="str">
        <f t="shared" si="2"/>
        <v>viernes</v>
      </c>
      <c r="T103" t="str">
        <f t="shared" si="3"/>
        <v>enero</v>
      </c>
      <c r="U103">
        <v>90.56</v>
      </c>
      <c r="V103">
        <f xml:space="preserve"> Tb_prod[[#This Row],[Emisiones_CO2_ton]] / Tb_prod[[#This Row],[Cantidad_Empleados]]</f>
        <v>4.738495575221239</v>
      </c>
      <c r="W103" t="str">
        <f>IF(Tb_prod[[#This Row],[Recuperación_Metal_Porcentaje]]&gt;90,"Alta",IF(Tb_prod[[#This Row],[Recuperación_Metal_Porcentaje]]&gt;75,"Media","Baja"))</f>
        <v>Alta</v>
      </c>
      <c r="X103" t="str">
        <f>IF(AND(Tb_prod[[#This Row],[Consumo_Energia_MWh]]&lt;=2000,Tb_prod[[#This Row],[Riesgo_Ambiental]]="Alto"),"Crítica","Normal")</f>
        <v>Normal</v>
      </c>
    </row>
    <row r="104" spans="1:24">
      <c r="A104">
        <v>103</v>
      </c>
      <c r="B104" t="str">
        <f>VLOOKUP(Tb_prod[[#This Row],[Región]],AUX_REGION[],2,0)</f>
        <v>Minera Staff</v>
      </c>
      <c r="C104" t="s">
        <v>12</v>
      </c>
      <c r="D104" t="s">
        <v>13</v>
      </c>
      <c r="E104" t="s">
        <v>14</v>
      </c>
      <c r="F104" t="s">
        <v>26</v>
      </c>
      <c r="G104" t="s">
        <v>20</v>
      </c>
      <c r="H104" s="23">
        <v>8353.51</v>
      </c>
      <c r="I104" s="23">
        <v>1403.93</v>
      </c>
      <c r="J104" s="23">
        <v>39745.089999999997</v>
      </c>
      <c r="K104" s="23">
        <v>846.9</v>
      </c>
      <c r="L104" s="10">
        <v>13816651500</v>
      </c>
      <c r="M104" s="9">
        <v>125387751240</v>
      </c>
      <c r="N104" s="12">
        <f xml:space="preserve"> Tb_prod[[#This Row],[Costo_Mantenimiento_CLP]] / Tb_prod[[#This Row],[Dias_Operación_Mes]]</f>
        <v>476436258.62068963</v>
      </c>
      <c r="O104" s="11">
        <f>Tb_prod[[#This Row],[Costo_Operativo_CLP]] / Tb_prod[[#This Row],[Producción_Toneladas]]</f>
        <v>15010187.482866483</v>
      </c>
      <c r="P104">
        <v>161</v>
      </c>
      <c r="Q104">
        <v>29</v>
      </c>
      <c r="R104" s="6">
        <v>45955</v>
      </c>
      <c r="S104" t="str">
        <f t="shared" si="2"/>
        <v>sábado</v>
      </c>
      <c r="T104" t="str">
        <f t="shared" si="3"/>
        <v>octubre</v>
      </c>
      <c r="U104">
        <v>76.31</v>
      </c>
      <c r="V104">
        <f xml:space="preserve"> Tb_prod[[#This Row],[Emisiones_CO2_ton]] / Tb_prod[[#This Row],[Cantidad_Empleados]]</f>
        <v>5.2602484472049689</v>
      </c>
      <c r="W104" t="str">
        <f>IF(Tb_prod[[#This Row],[Recuperación_Metal_Porcentaje]]&gt;90,"Alta",IF(Tb_prod[[#This Row],[Recuperación_Metal_Porcentaje]]&gt;75,"Media","Baja"))</f>
        <v>Media</v>
      </c>
      <c r="X104" t="str">
        <f>IF(AND(Tb_prod[[#This Row],[Consumo_Energia_MWh]]&lt;=2000,Tb_prod[[#This Row],[Riesgo_Ambiental]]="Alto"),"Crítica","Normal")</f>
        <v>Crítica</v>
      </c>
    </row>
    <row r="105" spans="1:24">
      <c r="A105">
        <v>500</v>
      </c>
      <c r="B105" t="str">
        <f>VLOOKUP(Tb_prod[[#This Row],[Región]],AUX_REGION[],2,0)</f>
        <v>Minera Romero</v>
      </c>
      <c r="C105" t="s">
        <v>27</v>
      </c>
      <c r="D105" t="s">
        <v>23</v>
      </c>
      <c r="E105" t="s">
        <v>14</v>
      </c>
      <c r="F105" t="s">
        <v>15</v>
      </c>
      <c r="G105" t="s">
        <v>16</v>
      </c>
      <c r="H105" s="23">
        <v>2305.96</v>
      </c>
      <c r="I105" s="23">
        <v>1469.11</v>
      </c>
      <c r="J105" s="23">
        <v>39980.6</v>
      </c>
      <c r="K105" s="23">
        <v>809.04</v>
      </c>
      <c r="L105" s="10">
        <v>8844726870</v>
      </c>
      <c r="M105" s="9">
        <v>96652282590</v>
      </c>
      <c r="N105" s="12">
        <f xml:space="preserve"> Tb_prod[[#This Row],[Costo_Mantenimiento_CLP]] / Tb_prod[[#This Row],[Dias_Operación_Mes]]</f>
        <v>421177470</v>
      </c>
      <c r="O105" s="11">
        <f>Tb_prod[[#This Row],[Costo_Operativo_CLP]] / Tb_prod[[#This Row],[Producción_Toneladas]]</f>
        <v>41914119.321237139</v>
      </c>
      <c r="P105">
        <v>263</v>
      </c>
      <c r="Q105">
        <v>21</v>
      </c>
      <c r="R105" s="6">
        <v>45894</v>
      </c>
      <c r="S105" t="str">
        <f t="shared" si="2"/>
        <v>lunes</v>
      </c>
      <c r="T105" t="str">
        <f t="shared" si="3"/>
        <v>agosto</v>
      </c>
      <c r="U105">
        <v>97.97</v>
      </c>
      <c r="V105">
        <f xml:space="preserve"> Tb_prod[[#This Row],[Emisiones_CO2_ton]] / Tb_prod[[#This Row],[Cantidad_Empleados]]</f>
        <v>3.0761977186311786</v>
      </c>
      <c r="W105" t="str">
        <f>IF(Tb_prod[[#This Row],[Recuperación_Metal_Porcentaje]]&gt;90,"Alta",IF(Tb_prod[[#This Row],[Recuperación_Metal_Porcentaje]]&gt;75,"Media","Baja"))</f>
        <v>Alta</v>
      </c>
      <c r="X105" t="str">
        <f>IF(AND(Tb_prod[[#This Row],[Consumo_Energia_MWh]]&lt;=2000,Tb_prod[[#This Row],[Riesgo_Ambiental]]="Alto"),"Crítica","Normal")</f>
        <v>Normal</v>
      </c>
    </row>
    <row r="106" spans="1:24">
      <c r="A106">
        <v>429</v>
      </c>
      <c r="B106" t="str">
        <f>VLOOKUP(Tb_prod[[#This Row],[Región]],AUX_REGION[],2,0)</f>
        <v>Minera Romero</v>
      </c>
      <c r="C106" t="s">
        <v>17</v>
      </c>
      <c r="D106" t="s">
        <v>23</v>
      </c>
      <c r="E106" t="s">
        <v>19</v>
      </c>
      <c r="F106" t="s">
        <v>15</v>
      </c>
      <c r="G106" t="s">
        <v>16</v>
      </c>
      <c r="H106" s="23">
        <v>6423.41</v>
      </c>
      <c r="I106" s="23">
        <v>2477.42</v>
      </c>
      <c r="J106" s="23">
        <v>40163.21</v>
      </c>
      <c r="K106" s="23">
        <v>1051.6600000000001</v>
      </c>
      <c r="L106" s="10">
        <v>18149252040</v>
      </c>
      <c r="M106" s="9">
        <v>141524975970</v>
      </c>
      <c r="N106" s="12">
        <f xml:space="preserve"> Tb_prod[[#This Row],[Costo_Mantenimiento_CLP]] / Tb_prod[[#This Row],[Dias_Operación_Mes]]</f>
        <v>648187572.85714281</v>
      </c>
      <c r="O106" s="11">
        <f>Tb_prod[[#This Row],[Costo_Operativo_CLP]] / Tb_prod[[#This Row],[Producción_Toneladas]]</f>
        <v>22032686.060830619</v>
      </c>
      <c r="P106">
        <v>265</v>
      </c>
      <c r="Q106">
        <v>28</v>
      </c>
      <c r="R106" s="6">
        <v>45811</v>
      </c>
      <c r="S106" t="str">
        <f t="shared" si="2"/>
        <v>martes</v>
      </c>
      <c r="T106" t="str">
        <f t="shared" si="3"/>
        <v>junio</v>
      </c>
      <c r="U106">
        <v>80.489999999999995</v>
      </c>
      <c r="V106">
        <f xml:space="preserve"> Tb_prod[[#This Row],[Emisiones_CO2_ton]] / Tb_prod[[#This Row],[Cantidad_Empleados]]</f>
        <v>3.968528301886793</v>
      </c>
      <c r="W106" t="str">
        <f>IF(Tb_prod[[#This Row],[Recuperación_Metal_Porcentaje]]&gt;90,"Alta",IF(Tb_prod[[#This Row],[Recuperación_Metal_Porcentaje]]&gt;75,"Media","Baja"))</f>
        <v>Media</v>
      </c>
      <c r="X106" t="str">
        <f>IF(AND(Tb_prod[[#This Row],[Consumo_Energia_MWh]]&lt;=2000,Tb_prod[[#This Row],[Riesgo_Ambiental]]="Alto"),"Crítica","Normal")</f>
        <v>Normal</v>
      </c>
    </row>
    <row r="107" spans="1:24">
      <c r="A107">
        <v>406</v>
      </c>
      <c r="B107" t="str">
        <f>VLOOKUP(Tb_prod[[#This Row],[Región]],AUX_REGION[],2,0)</f>
        <v>Minera Staff</v>
      </c>
      <c r="C107" t="s">
        <v>17</v>
      </c>
      <c r="D107" t="s">
        <v>13</v>
      </c>
      <c r="E107" t="s">
        <v>14</v>
      </c>
      <c r="F107" t="s">
        <v>26</v>
      </c>
      <c r="G107" t="s">
        <v>22</v>
      </c>
      <c r="H107" s="23">
        <v>5130.29</v>
      </c>
      <c r="I107" s="23">
        <v>1536.58</v>
      </c>
      <c r="J107" s="23">
        <v>40174.83</v>
      </c>
      <c r="K107" s="23">
        <v>922.18</v>
      </c>
      <c r="L107" s="10">
        <v>41275352970</v>
      </c>
      <c r="M107" s="9">
        <v>68112923220</v>
      </c>
      <c r="N107" s="12">
        <f xml:space="preserve"> Tb_prod[[#This Row],[Costo_Mantenimiento_CLP]] / Tb_prod[[#This Row],[Dias_Operación_Mes]]</f>
        <v>1876152407.7272727</v>
      </c>
      <c r="O107" s="11">
        <f>Tb_prod[[#This Row],[Costo_Operativo_CLP]] / Tb_prod[[#This Row],[Producción_Toneladas]]</f>
        <v>13276622.417056346</v>
      </c>
      <c r="P107">
        <v>81</v>
      </c>
      <c r="Q107">
        <v>22</v>
      </c>
      <c r="R107" s="6">
        <v>45022</v>
      </c>
      <c r="S107" t="str">
        <f t="shared" si="2"/>
        <v>jueves</v>
      </c>
      <c r="T107" t="str">
        <f t="shared" si="3"/>
        <v>abril</v>
      </c>
      <c r="U107">
        <v>72.72</v>
      </c>
      <c r="V107">
        <f xml:space="preserve"> Tb_prod[[#This Row],[Emisiones_CO2_ton]] / Tb_prod[[#This Row],[Cantidad_Empleados]]</f>
        <v>11.384938271604938</v>
      </c>
      <c r="W107" t="str">
        <f>IF(Tb_prod[[#This Row],[Recuperación_Metal_Porcentaje]]&gt;90,"Alta",IF(Tb_prod[[#This Row],[Recuperación_Metal_Porcentaje]]&gt;75,"Media","Baja"))</f>
        <v>Baja</v>
      </c>
      <c r="X107" t="str">
        <f>IF(AND(Tb_prod[[#This Row],[Consumo_Energia_MWh]]&lt;=2000,Tb_prod[[#This Row],[Riesgo_Ambiental]]="Alto"),"Crítica","Normal")</f>
        <v>Normal</v>
      </c>
    </row>
    <row r="108" spans="1:24">
      <c r="A108">
        <v>181</v>
      </c>
      <c r="B108" t="str">
        <f>VLOOKUP(Tb_prod[[#This Row],[Región]],AUX_REGION[],2,0)</f>
        <v>Minera Staff</v>
      </c>
      <c r="C108" t="s">
        <v>27</v>
      </c>
      <c r="D108" t="s">
        <v>13</v>
      </c>
      <c r="E108" t="s">
        <v>14</v>
      </c>
      <c r="F108" t="s">
        <v>15</v>
      </c>
      <c r="G108" t="s">
        <v>22</v>
      </c>
      <c r="H108" s="23">
        <v>6413.25</v>
      </c>
      <c r="I108" s="23">
        <v>1790.01</v>
      </c>
      <c r="J108" s="23">
        <v>40192.589999999997</v>
      </c>
      <c r="K108" s="23">
        <v>484.37</v>
      </c>
      <c r="L108" s="10">
        <v>34500081240</v>
      </c>
      <c r="M108" s="9">
        <v>36426834720</v>
      </c>
      <c r="N108" s="12">
        <f xml:space="preserve"> Tb_prod[[#This Row],[Costo_Mantenimiento_CLP]] / Tb_prod[[#This Row],[Dias_Operación_Mes]]</f>
        <v>1326926201.5384614</v>
      </c>
      <c r="O108" s="11">
        <f>Tb_prod[[#This Row],[Costo_Operativo_CLP]] / Tb_prod[[#This Row],[Producción_Toneladas]]</f>
        <v>5679933.6872880366</v>
      </c>
      <c r="P108">
        <v>144</v>
      </c>
      <c r="Q108">
        <v>26</v>
      </c>
      <c r="R108" s="6">
        <v>45810</v>
      </c>
      <c r="S108" t="str">
        <f t="shared" si="2"/>
        <v>lunes</v>
      </c>
      <c r="T108" t="str">
        <f t="shared" si="3"/>
        <v>junio</v>
      </c>
      <c r="U108">
        <v>98.08</v>
      </c>
      <c r="V108">
        <f xml:space="preserve"> Tb_prod[[#This Row],[Emisiones_CO2_ton]] / Tb_prod[[#This Row],[Cantidad_Empleados]]</f>
        <v>3.3636805555555558</v>
      </c>
      <c r="W108" t="str">
        <f>IF(Tb_prod[[#This Row],[Recuperación_Metal_Porcentaje]]&gt;90,"Alta",IF(Tb_prod[[#This Row],[Recuperación_Metal_Porcentaje]]&gt;75,"Media","Baja"))</f>
        <v>Alta</v>
      </c>
      <c r="X108" t="str">
        <f>IF(AND(Tb_prod[[#This Row],[Consumo_Energia_MWh]]&lt;=2000,Tb_prod[[#This Row],[Riesgo_Ambiental]]="Alto"),"Crítica","Normal")</f>
        <v>Normal</v>
      </c>
    </row>
    <row r="109" spans="1:24">
      <c r="A109">
        <v>238</v>
      </c>
      <c r="B109" t="str">
        <f>VLOOKUP(Tb_prod[[#This Row],[Región]],AUX_REGION[],2,0)</f>
        <v>Minera del Norte</v>
      </c>
      <c r="C109" t="s">
        <v>12</v>
      </c>
      <c r="D109" t="s">
        <v>18</v>
      </c>
      <c r="E109" t="s">
        <v>14</v>
      </c>
      <c r="F109" t="s">
        <v>24</v>
      </c>
      <c r="G109" t="s">
        <v>22</v>
      </c>
      <c r="H109" s="23">
        <v>7964.82</v>
      </c>
      <c r="I109" s="23">
        <v>1785.37</v>
      </c>
      <c r="J109" s="23">
        <v>40226.33</v>
      </c>
      <c r="K109" s="23">
        <v>765.84</v>
      </c>
      <c r="L109" s="10">
        <v>4003237440</v>
      </c>
      <c r="M109" s="9">
        <v>53061298650</v>
      </c>
      <c r="N109" s="12">
        <f xml:space="preserve"> Tb_prod[[#This Row],[Costo_Mantenimiento_CLP]] / Tb_prod[[#This Row],[Dias_Operación_Mes]]</f>
        <v>142972765.7142857</v>
      </c>
      <c r="O109" s="11">
        <f>Tb_prod[[#This Row],[Costo_Operativo_CLP]] / Tb_prod[[#This Row],[Producción_Toneladas]]</f>
        <v>6661958.2928427765</v>
      </c>
      <c r="P109">
        <v>62</v>
      </c>
      <c r="Q109">
        <v>28</v>
      </c>
      <c r="R109" s="6">
        <v>45270</v>
      </c>
      <c r="S109" t="str">
        <f t="shared" si="2"/>
        <v>domingo</v>
      </c>
      <c r="T109" t="str">
        <f t="shared" si="3"/>
        <v>diciembre</v>
      </c>
      <c r="U109">
        <v>87.87</v>
      </c>
      <c r="V109">
        <f xml:space="preserve"> Tb_prod[[#This Row],[Emisiones_CO2_ton]] / Tb_prod[[#This Row],[Cantidad_Empleados]]</f>
        <v>12.35225806451613</v>
      </c>
      <c r="W109" t="str">
        <f>IF(Tb_prod[[#This Row],[Recuperación_Metal_Porcentaje]]&gt;90,"Alta",IF(Tb_prod[[#This Row],[Recuperación_Metal_Porcentaje]]&gt;75,"Media","Baja"))</f>
        <v>Media</v>
      </c>
      <c r="X109" t="str">
        <f>IF(AND(Tb_prod[[#This Row],[Consumo_Energia_MWh]]&lt;=2000,Tb_prod[[#This Row],[Riesgo_Ambiental]]="Alto"),"Crítica","Normal")</f>
        <v>Normal</v>
      </c>
    </row>
    <row r="110" spans="1:24">
      <c r="A110">
        <v>69</v>
      </c>
      <c r="B110" t="str">
        <f>VLOOKUP(Tb_prod[[#This Row],[Región]],AUX_REGION[],2,0)</f>
        <v>Minera Romero</v>
      </c>
      <c r="C110" t="s">
        <v>12</v>
      </c>
      <c r="D110" t="s">
        <v>23</v>
      </c>
      <c r="E110" t="s">
        <v>14</v>
      </c>
      <c r="F110" t="s">
        <v>15</v>
      </c>
      <c r="G110" t="s">
        <v>16</v>
      </c>
      <c r="H110" s="23">
        <v>4600.5200000000004</v>
      </c>
      <c r="I110" s="23">
        <v>2686.39</v>
      </c>
      <c r="J110" s="23">
        <v>40310.69</v>
      </c>
      <c r="K110" s="23">
        <v>1564.69</v>
      </c>
      <c r="L110" s="10">
        <v>9714619980</v>
      </c>
      <c r="M110" s="9">
        <v>407576334600</v>
      </c>
      <c r="N110" s="12">
        <f xml:space="preserve"> Tb_prod[[#This Row],[Costo_Mantenimiento_CLP]] / Tb_prod[[#This Row],[Dias_Operación_Mes]]</f>
        <v>388584799.19999999</v>
      </c>
      <c r="O110" s="11">
        <f>Tb_prod[[#This Row],[Costo_Operativo_CLP]] / Tb_prod[[#This Row],[Producción_Toneladas]]</f>
        <v>88593536.078530252</v>
      </c>
      <c r="P110">
        <v>273</v>
      </c>
      <c r="Q110">
        <v>25</v>
      </c>
      <c r="R110" s="6">
        <v>45690</v>
      </c>
      <c r="S110" t="str">
        <f t="shared" si="2"/>
        <v>domingo</v>
      </c>
      <c r="T110" t="str">
        <f t="shared" si="3"/>
        <v>febrero</v>
      </c>
      <c r="U110">
        <v>85.23</v>
      </c>
      <c r="V110">
        <f xml:space="preserve"> Tb_prod[[#This Row],[Emisiones_CO2_ton]] / Tb_prod[[#This Row],[Cantidad_Empleados]]</f>
        <v>5.7314652014652019</v>
      </c>
      <c r="W110" t="str">
        <f>IF(Tb_prod[[#This Row],[Recuperación_Metal_Porcentaje]]&gt;90,"Alta",IF(Tb_prod[[#This Row],[Recuperación_Metal_Porcentaje]]&gt;75,"Media","Baja"))</f>
        <v>Media</v>
      </c>
      <c r="X110" t="str">
        <f>IF(AND(Tb_prod[[#This Row],[Consumo_Energia_MWh]]&lt;=2000,Tb_prod[[#This Row],[Riesgo_Ambiental]]="Alto"),"Crítica","Normal")</f>
        <v>Normal</v>
      </c>
    </row>
    <row r="111" spans="1:24">
      <c r="A111">
        <v>273</v>
      </c>
      <c r="B111" t="str">
        <f>VLOOKUP(Tb_prod[[#This Row],[Región]],AUX_REGION[],2,0)</f>
        <v>Minera del Norte</v>
      </c>
      <c r="C111" t="s">
        <v>27</v>
      </c>
      <c r="D111" t="s">
        <v>18</v>
      </c>
      <c r="E111" t="s">
        <v>14</v>
      </c>
      <c r="F111" t="s">
        <v>15</v>
      </c>
      <c r="G111" t="s">
        <v>22</v>
      </c>
      <c r="H111" s="23">
        <v>8890.36</v>
      </c>
      <c r="I111" s="23">
        <v>2510.06</v>
      </c>
      <c r="J111" s="23">
        <v>40342.42</v>
      </c>
      <c r="K111" s="23">
        <v>739.98</v>
      </c>
      <c r="L111" s="10">
        <v>30043923750</v>
      </c>
      <c r="M111" s="9">
        <v>68445417060</v>
      </c>
      <c r="N111" s="12">
        <f xml:space="preserve"> Tb_prod[[#This Row],[Costo_Mantenimiento_CLP]] / Tb_prod[[#This Row],[Dias_Operación_Mes]]</f>
        <v>1035997370.6896552</v>
      </c>
      <c r="O111" s="11">
        <f>Tb_prod[[#This Row],[Costo_Operativo_CLP]] / Tb_prod[[#This Row],[Producción_Toneladas]]</f>
        <v>7698835.2620141357</v>
      </c>
      <c r="P111">
        <v>205</v>
      </c>
      <c r="Q111">
        <v>29</v>
      </c>
      <c r="R111" s="6">
        <v>45464</v>
      </c>
      <c r="S111" t="str">
        <f t="shared" si="2"/>
        <v>viernes</v>
      </c>
      <c r="T111" t="str">
        <f t="shared" si="3"/>
        <v>junio</v>
      </c>
      <c r="U111">
        <v>96.34</v>
      </c>
      <c r="V111">
        <f xml:space="preserve"> Tb_prod[[#This Row],[Emisiones_CO2_ton]] / Tb_prod[[#This Row],[Cantidad_Empleados]]</f>
        <v>3.609658536585366</v>
      </c>
      <c r="W111" t="str">
        <f>IF(Tb_prod[[#This Row],[Recuperación_Metal_Porcentaje]]&gt;90,"Alta",IF(Tb_prod[[#This Row],[Recuperación_Metal_Porcentaje]]&gt;75,"Media","Baja"))</f>
        <v>Alta</v>
      </c>
      <c r="X111" t="str">
        <f>IF(AND(Tb_prod[[#This Row],[Consumo_Energia_MWh]]&lt;=2000,Tb_prod[[#This Row],[Riesgo_Ambiental]]="Alto"),"Crítica","Normal")</f>
        <v>Normal</v>
      </c>
    </row>
    <row r="112" spans="1:24">
      <c r="A112">
        <v>155</v>
      </c>
      <c r="B112" t="str">
        <f>VLOOKUP(Tb_prod[[#This Row],[Región]],AUX_REGION[],2,0)</f>
        <v>Minera del Norte</v>
      </c>
      <c r="C112" t="s">
        <v>21</v>
      </c>
      <c r="D112" t="s">
        <v>18</v>
      </c>
      <c r="E112" t="s">
        <v>14</v>
      </c>
      <c r="F112" t="s">
        <v>26</v>
      </c>
      <c r="G112" t="s">
        <v>20</v>
      </c>
      <c r="H112" s="23">
        <v>4649.01</v>
      </c>
      <c r="I112" s="23">
        <v>1873.2</v>
      </c>
      <c r="J112" s="23">
        <v>40390.910000000003</v>
      </c>
      <c r="K112" s="23">
        <v>585.26</v>
      </c>
      <c r="L112" s="10">
        <v>27167801580</v>
      </c>
      <c r="M112" s="9">
        <v>132553805040</v>
      </c>
      <c r="N112" s="12">
        <f xml:space="preserve"> Tb_prod[[#This Row],[Costo_Mantenimiento_CLP]] / Tb_prod[[#This Row],[Dias_Operación_Mes]]</f>
        <v>970278627.85714281</v>
      </c>
      <c r="O112" s="11">
        <f>Tb_prod[[#This Row],[Costo_Operativo_CLP]] / Tb_prod[[#This Row],[Producción_Toneladas]]</f>
        <v>28512264.985448513</v>
      </c>
      <c r="P112">
        <v>120</v>
      </c>
      <c r="Q112">
        <v>28</v>
      </c>
      <c r="R112" s="6">
        <v>45049</v>
      </c>
      <c r="S112" t="str">
        <f t="shared" si="2"/>
        <v>miércoles</v>
      </c>
      <c r="T112" t="str">
        <f t="shared" si="3"/>
        <v>mayo</v>
      </c>
      <c r="U112">
        <v>77.8</v>
      </c>
      <c r="V112">
        <f xml:space="preserve"> Tb_prod[[#This Row],[Emisiones_CO2_ton]] / Tb_prod[[#This Row],[Cantidad_Empleados]]</f>
        <v>4.8771666666666667</v>
      </c>
      <c r="W112" t="str">
        <f>IF(Tb_prod[[#This Row],[Recuperación_Metal_Porcentaje]]&gt;90,"Alta",IF(Tb_prod[[#This Row],[Recuperación_Metal_Porcentaje]]&gt;75,"Media","Baja"))</f>
        <v>Media</v>
      </c>
      <c r="X112" t="str">
        <f>IF(AND(Tb_prod[[#This Row],[Consumo_Energia_MWh]]&lt;=2000,Tb_prod[[#This Row],[Riesgo_Ambiental]]="Alto"),"Crítica","Normal")</f>
        <v>Crítica</v>
      </c>
    </row>
    <row r="113" spans="1:24">
      <c r="A113">
        <v>73</v>
      </c>
      <c r="B113" t="str">
        <f>VLOOKUP(Tb_prod[[#This Row],[Región]],AUX_REGION[],2,0)</f>
        <v>Minera Romero</v>
      </c>
      <c r="C113" t="s">
        <v>17</v>
      </c>
      <c r="D113" t="s">
        <v>23</v>
      </c>
      <c r="E113" t="s">
        <v>14</v>
      </c>
      <c r="F113" t="s">
        <v>26</v>
      </c>
      <c r="G113" t="s">
        <v>22</v>
      </c>
      <c r="H113" s="23">
        <v>4986.7</v>
      </c>
      <c r="I113" s="23">
        <v>2983.69</v>
      </c>
      <c r="J113" s="23">
        <v>40503.39</v>
      </c>
      <c r="K113" s="23">
        <v>466.49</v>
      </c>
      <c r="L113" s="10">
        <v>1394118212338.8899</v>
      </c>
      <c r="M113" s="9">
        <v>138282778080</v>
      </c>
      <c r="N113" s="12">
        <f xml:space="preserve"> Tb_prod[[#This Row],[Costo_Mantenimiento_CLP]] / Tb_prod[[#This Row],[Dias_Operación_Mes]]</f>
        <v>69705910616.944489</v>
      </c>
      <c r="O113" s="11">
        <f>Tb_prod[[#This Row],[Costo_Operativo_CLP]] / Tb_prod[[#This Row],[Producción_Toneladas]]</f>
        <v>27730318.262578461</v>
      </c>
      <c r="P113">
        <v>135</v>
      </c>
      <c r="Q113">
        <v>20</v>
      </c>
      <c r="R113" s="6">
        <v>45991</v>
      </c>
      <c r="S113" t="str">
        <f t="shared" si="2"/>
        <v>domingo</v>
      </c>
      <c r="T113" t="str">
        <f t="shared" si="3"/>
        <v>noviembre</v>
      </c>
      <c r="U113">
        <v>74.22</v>
      </c>
      <c r="V113">
        <f xml:space="preserve"> Tb_prod[[#This Row],[Emisiones_CO2_ton]] / Tb_prod[[#This Row],[Cantidad_Empleados]]</f>
        <v>3.4554814814814816</v>
      </c>
      <c r="W113" t="str">
        <f>IF(Tb_prod[[#This Row],[Recuperación_Metal_Porcentaje]]&gt;90,"Alta",IF(Tb_prod[[#This Row],[Recuperación_Metal_Porcentaje]]&gt;75,"Media","Baja"))</f>
        <v>Baja</v>
      </c>
      <c r="X113" t="str">
        <f>IF(AND(Tb_prod[[#This Row],[Consumo_Energia_MWh]]&lt;=2000,Tb_prod[[#This Row],[Riesgo_Ambiental]]="Alto"),"Crítica","Normal")</f>
        <v>Normal</v>
      </c>
    </row>
    <row r="114" spans="1:24">
      <c r="A114">
        <v>482</v>
      </c>
      <c r="B114" t="str">
        <f>VLOOKUP(Tb_prod[[#This Row],[Región]],AUX_REGION[],2,0)</f>
        <v>Minera del Norte</v>
      </c>
      <c r="C114" t="s">
        <v>12</v>
      </c>
      <c r="D114" t="s">
        <v>18</v>
      </c>
      <c r="E114" t="s">
        <v>14</v>
      </c>
      <c r="F114" t="s">
        <v>26</v>
      </c>
      <c r="G114" t="s">
        <v>22</v>
      </c>
      <c r="H114" s="23">
        <v>3120.31</v>
      </c>
      <c r="I114" s="23">
        <v>2068.83</v>
      </c>
      <c r="J114" s="23">
        <v>40679.81</v>
      </c>
      <c r="K114" s="23">
        <v>1215.31</v>
      </c>
      <c r="L114" s="10">
        <v>12654968670</v>
      </c>
      <c r="M114" s="9">
        <v>75897240030</v>
      </c>
      <c r="N114" s="12">
        <f xml:space="preserve"> Tb_prod[[#This Row],[Costo_Mantenimiento_CLP]] / Tb_prod[[#This Row],[Dias_Operación_Mes]]</f>
        <v>506198746.80000001</v>
      </c>
      <c r="O114" s="11">
        <f>Tb_prod[[#This Row],[Costo_Operativo_CLP]] / Tb_prod[[#This Row],[Producción_Toneladas]]</f>
        <v>24323621.701048933</v>
      </c>
      <c r="P114">
        <v>264</v>
      </c>
      <c r="Q114">
        <v>25</v>
      </c>
      <c r="R114" s="6">
        <v>45860</v>
      </c>
      <c r="S114" t="str">
        <f t="shared" si="2"/>
        <v>martes</v>
      </c>
      <c r="T114" t="str">
        <f t="shared" si="3"/>
        <v>julio</v>
      </c>
      <c r="U114">
        <v>94.23</v>
      </c>
      <c r="V114">
        <f xml:space="preserve"> Tb_prod[[#This Row],[Emisiones_CO2_ton]] / Tb_prod[[#This Row],[Cantidad_Empleados]]</f>
        <v>4.6034469696969698</v>
      </c>
      <c r="W114" t="str">
        <f>IF(Tb_prod[[#This Row],[Recuperación_Metal_Porcentaje]]&gt;90,"Alta",IF(Tb_prod[[#This Row],[Recuperación_Metal_Porcentaje]]&gt;75,"Media","Baja"))</f>
        <v>Alta</v>
      </c>
      <c r="X114" t="str">
        <f>IF(AND(Tb_prod[[#This Row],[Consumo_Energia_MWh]]&lt;=2000,Tb_prod[[#This Row],[Riesgo_Ambiental]]="Alto"),"Crítica","Normal")</f>
        <v>Normal</v>
      </c>
    </row>
    <row r="115" spans="1:24">
      <c r="A115">
        <v>153</v>
      </c>
      <c r="B115" t="str">
        <f>VLOOKUP(Tb_prod[[#This Row],[Región]],AUX_REGION[],2,0)</f>
        <v>Minera Staff</v>
      </c>
      <c r="C115" t="s">
        <v>27</v>
      </c>
      <c r="D115" t="s">
        <v>13</v>
      </c>
      <c r="E115" t="s">
        <v>14</v>
      </c>
      <c r="F115" t="s">
        <v>26</v>
      </c>
      <c r="G115" t="s">
        <v>16</v>
      </c>
      <c r="H115" s="23">
        <v>5735.63</v>
      </c>
      <c r="I115" s="23">
        <v>1589.84</v>
      </c>
      <c r="J115" s="23">
        <v>40715.300000000003</v>
      </c>
      <c r="K115" s="23">
        <v>848.97</v>
      </c>
      <c r="L115" s="10">
        <v>17851970250</v>
      </c>
      <c r="M115" s="9">
        <v>67898529720</v>
      </c>
      <c r="N115" s="12">
        <f xml:space="preserve"> Tb_prod[[#This Row],[Costo_Mantenimiento_CLP]] / Tb_prod[[#This Row],[Dias_Operación_Mes]]</f>
        <v>661184083.33333337</v>
      </c>
      <c r="O115" s="11">
        <f>Tb_prod[[#This Row],[Costo_Operativo_CLP]] / Tb_prod[[#This Row],[Producción_Toneladas]]</f>
        <v>11838024.719167728</v>
      </c>
      <c r="P115">
        <v>260</v>
      </c>
      <c r="Q115">
        <v>27</v>
      </c>
      <c r="R115" s="6">
        <v>45762</v>
      </c>
      <c r="S115" t="str">
        <f t="shared" si="2"/>
        <v>martes</v>
      </c>
      <c r="T115" t="str">
        <f t="shared" si="3"/>
        <v>abril</v>
      </c>
      <c r="U115">
        <v>90.37</v>
      </c>
      <c r="V115">
        <f xml:space="preserve"> Tb_prod[[#This Row],[Emisiones_CO2_ton]] / Tb_prod[[#This Row],[Cantidad_Empleados]]</f>
        <v>3.2652692307692308</v>
      </c>
      <c r="W115" t="str">
        <f>IF(Tb_prod[[#This Row],[Recuperación_Metal_Porcentaje]]&gt;90,"Alta",IF(Tb_prod[[#This Row],[Recuperación_Metal_Porcentaje]]&gt;75,"Media","Baja"))</f>
        <v>Alta</v>
      </c>
      <c r="X115" t="str">
        <f>IF(AND(Tb_prod[[#This Row],[Consumo_Energia_MWh]]&lt;=2000,Tb_prod[[#This Row],[Riesgo_Ambiental]]="Alto"),"Crítica","Normal")</f>
        <v>Normal</v>
      </c>
    </row>
    <row r="116" spans="1:24">
      <c r="A116">
        <v>117</v>
      </c>
      <c r="B116" t="str">
        <f>VLOOKUP(Tb_prod[[#This Row],[Región]],AUX_REGION[],2,0)</f>
        <v>Minera Romero</v>
      </c>
      <c r="C116" t="s">
        <v>25</v>
      </c>
      <c r="D116" t="s">
        <v>23</v>
      </c>
      <c r="E116" t="s">
        <v>19</v>
      </c>
      <c r="F116" t="s">
        <v>26</v>
      </c>
      <c r="G116" t="s">
        <v>22</v>
      </c>
      <c r="H116" s="23">
        <v>6361.24</v>
      </c>
      <c r="I116" s="23">
        <v>2654.93</v>
      </c>
      <c r="J116" s="23">
        <v>40741.46</v>
      </c>
      <c r="K116" s="23">
        <v>1013.16</v>
      </c>
      <c r="L116" s="10">
        <v>9914560020</v>
      </c>
      <c r="M116" s="9">
        <v>17553229200</v>
      </c>
      <c r="N116" s="12">
        <f xml:space="preserve"> Tb_prod[[#This Row],[Costo_Mantenimiento_CLP]] / Tb_prod[[#This Row],[Dias_Operación_Mes]]</f>
        <v>431067826.95652175</v>
      </c>
      <c r="O116" s="11">
        <f>Tb_prod[[#This Row],[Costo_Operativo_CLP]] / Tb_prod[[#This Row],[Producción_Toneladas]]</f>
        <v>2759403.7011651816</v>
      </c>
      <c r="P116">
        <v>233</v>
      </c>
      <c r="Q116">
        <v>23</v>
      </c>
      <c r="R116" s="6">
        <v>45022</v>
      </c>
      <c r="S116" t="str">
        <f t="shared" si="2"/>
        <v>jueves</v>
      </c>
      <c r="T116" t="str">
        <f t="shared" si="3"/>
        <v>abril</v>
      </c>
      <c r="U116">
        <v>71.47</v>
      </c>
      <c r="V116">
        <f xml:space="preserve"> Tb_prod[[#This Row],[Emisiones_CO2_ton]] / Tb_prod[[#This Row],[Cantidad_Empleados]]</f>
        <v>4.3483261802575104</v>
      </c>
      <c r="W116" t="str">
        <f>IF(Tb_prod[[#This Row],[Recuperación_Metal_Porcentaje]]&gt;90,"Alta",IF(Tb_prod[[#This Row],[Recuperación_Metal_Porcentaje]]&gt;75,"Media","Baja"))</f>
        <v>Baja</v>
      </c>
      <c r="X116" t="str">
        <f>IF(AND(Tb_prod[[#This Row],[Consumo_Energia_MWh]]&lt;=2000,Tb_prod[[#This Row],[Riesgo_Ambiental]]="Alto"),"Crítica","Normal")</f>
        <v>Normal</v>
      </c>
    </row>
    <row r="117" spans="1:24">
      <c r="A117">
        <v>236</v>
      </c>
      <c r="B117" t="str">
        <f>VLOOKUP(Tb_prod[[#This Row],[Región]],AUX_REGION[],2,0)</f>
        <v>Minera Staff</v>
      </c>
      <c r="C117" t="s">
        <v>25</v>
      </c>
      <c r="D117" t="s">
        <v>13</v>
      </c>
      <c r="E117" t="s">
        <v>19</v>
      </c>
      <c r="F117" t="s">
        <v>15</v>
      </c>
      <c r="G117" t="s">
        <v>16</v>
      </c>
      <c r="H117" s="23">
        <v>8620.09</v>
      </c>
      <c r="I117" s="23">
        <v>2371.42</v>
      </c>
      <c r="J117" s="23">
        <v>40786.050000000003</v>
      </c>
      <c r="K117" s="23">
        <v>1369.76</v>
      </c>
      <c r="L117" s="10">
        <v>30494845530</v>
      </c>
      <c r="M117" s="9">
        <v>35335410840</v>
      </c>
      <c r="N117" s="12">
        <f xml:space="preserve"> Tb_prod[[#This Row],[Costo_Mantenimiento_CLP]] / Tb_prod[[#This Row],[Dias_Operación_Mes]]</f>
        <v>1051546397.5862069</v>
      </c>
      <c r="O117" s="11">
        <f>Tb_prod[[#This Row],[Costo_Operativo_CLP]] / Tb_prod[[#This Row],[Producción_Toneladas]]</f>
        <v>4099192.7972909794</v>
      </c>
      <c r="P117">
        <v>199</v>
      </c>
      <c r="Q117">
        <v>29</v>
      </c>
      <c r="R117" s="6">
        <v>45946</v>
      </c>
      <c r="S117" t="str">
        <f t="shared" si="2"/>
        <v>jueves</v>
      </c>
      <c r="T117" t="str">
        <f t="shared" si="3"/>
        <v>octubre</v>
      </c>
      <c r="U117">
        <v>72.95</v>
      </c>
      <c r="V117">
        <f xml:space="preserve"> Tb_prod[[#This Row],[Emisiones_CO2_ton]] / Tb_prod[[#This Row],[Cantidad_Empleados]]</f>
        <v>6.8832160804020104</v>
      </c>
      <c r="W117" t="str">
        <f>IF(Tb_prod[[#This Row],[Recuperación_Metal_Porcentaje]]&gt;90,"Alta",IF(Tb_prod[[#This Row],[Recuperación_Metal_Porcentaje]]&gt;75,"Media","Baja"))</f>
        <v>Baja</v>
      </c>
      <c r="X117" t="str">
        <f>IF(AND(Tb_prod[[#This Row],[Consumo_Energia_MWh]]&lt;=2000,Tb_prod[[#This Row],[Riesgo_Ambiental]]="Alto"),"Crítica","Normal")</f>
        <v>Normal</v>
      </c>
    </row>
    <row r="118" spans="1:24">
      <c r="A118">
        <v>340</v>
      </c>
      <c r="B118" t="str">
        <f>VLOOKUP(Tb_prod[[#This Row],[Región]],AUX_REGION[],2,0)</f>
        <v>Minera Romero</v>
      </c>
      <c r="C118" t="s">
        <v>12</v>
      </c>
      <c r="D118" t="s">
        <v>23</v>
      </c>
      <c r="E118" t="s">
        <v>14</v>
      </c>
      <c r="F118" t="s">
        <v>26</v>
      </c>
      <c r="G118" t="s">
        <v>22</v>
      </c>
      <c r="H118" s="23">
        <v>5600.17</v>
      </c>
      <c r="I118" s="23">
        <v>1469.59</v>
      </c>
      <c r="J118" s="23">
        <v>40834.54</v>
      </c>
      <c r="K118" s="23">
        <v>1243.3399999999999</v>
      </c>
      <c r="L118" s="10">
        <v>44589807990</v>
      </c>
      <c r="M118" s="9">
        <v>133811887770</v>
      </c>
      <c r="N118" s="12">
        <f xml:space="preserve"> Tb_prod[[#This Row],[Costo_Mantenimiento_CLP]] / Tb_prod[[#This Row],[Dias_Operación_Mes]]</f>
        <v>1592493142.5</v>
      </c>
      <c r="O118" s="11">
        <f>Tb_prod[[#This Row],[Costo_Operativo_CLP]] / Tb_prod[[#This Row],[Producción_Toneladas]]</f>
        <v>23894254.597628284</v>
      </c>
      <c r="P118">
        <v>156</v>
      </c>
      <c r="Q118">
        <v>28</v>
      </c>
      <c r="R118" s="6">
        <v>45080</v>
      </c>
      <c r="S118" t="str">
        <f t="shared" si="2"/>
        <v>sábado</v>
      </c>
      <c r="T118" t="str">
        <f t="shared" si="3"/>
        <v>junio</v>
      </c>
      <c r="U118">
        <v>95.52</v>
      </c>
      <c r="V118">
        <f xml:space="preserve"> Tb_prod[[#This Row],[Emisiones_CO2_ton]] / Tb_prod[[#This Row],[Cantidad_Empleados]]</f>
        <v>7.970128205128205</v>
      </c>
      <c r="W118" t="str">
        <f>IF(Tb_prod[[#This Row],[Recuperación_Metal_Porcentaje]]&gt;90,"Alta",IF(Tb_prod[[#This Row],[Recuperación_Metal_Porcentaje]]&gt;75,"Media","Baja"))</f>
        <v>Alta</v>
      </c>
      <c r="X118" t="str">
        <f>IF(AND(Tb_prod[[#This Row],[Consumo_Energia_MWh]]&lt;=2000,Tb_prod[[#This Row],[Riesgo_Ambiental]]="Alto"),"Crítica","Normal")</f>
        <v>Normal</v>
      </c>
    </row>
    <row r="119" spans="1:24">
      <c r="A119">
        <v>233</v>
      </c>
      <c r="B119" t="str">
        <f>VLOOKUP(Tb_prod[[#This Row],[Región]],AUX_REGION[],2,0)</f>
        <v>Minera Staff</v>
      </c>
      <c r="C119" t="s">
        <v>12</v>
      </c>
      <c r="D119" t="s">
        <v>13</v>
      </c>
      <c r="E119" t="s">
        <v>14</v>
      </c>
      <c r="F119" t="s">
        <v>26</v>
      </c>
      <c r="G119" t="s">
        <v>20</v>
      </c>
      <c r="H119" s="23">
        <v>6897.8</v>
      </c>
      <c r="I119" s="23">
        <v>1827.45</v>
      </c>
      <c r="J119" s="23">
        <v>40922.17</v>
      </c>
      <c r="K119" s="23">
        <v>1184.71</v>
      </c>
      <c r="L119" s="10">
        <v>39708549360</v>
      </c>
      <c r="M119" s="9">
        <v>79457519340</v>
      </c>
      <c r="N119" s="12">
        <f xml:space="preserve"> Tb_prod[[#This Row],[Costo_Mantenimiento_CLP]] / Tb_prod[[#This Row],[Dias_Operación_Mes]]</f>
        <v>1890883302.8571429</v>
      </c>
      <c r="O119" s="11">
        <f>Tb_prod[[#This Row],[Costo_Operativo_CLP]] / Tb_prod[[#This Row],[Producción_Toneladas]]</f>
        <v>11519255.319087245</v>
      </c>
      <c r="P119">
        <v>133</v>
      </c>
      <c r="Q119">
        <v>21</v>
      </c>
      <c r="R119" s="6">
        <v>45368</v>
      </c>
      <c r="S119" t="str">
        <f t="shared" si="2"/>
        <v>domingo</v>
      </c>
      <c r="T119" t="str">
        <f t="shared" si="3"/>
        <v>marzo</v>
      </c>
      <c r="U119">
        <v>92.17</v>
      </c>
      <c r="V119">
        <f xml:space="preserve"> Tb_prod[[#This Row],[Emisiones_CO2_ton]] / Tb_prod[[#This Row],[Cantidad_Empleados]]</f>
        <v>8.9075939849624071</v>
      </c>
      <c r="W119" t="str">
        <f>IF(Tb_prod[[#This Row],[Recuperación_Metal_Porcentaje]]&gt;90,"Alta",IF(Tb_prod[[#This Row],[Recuperación_Metal_Porcentaje]]&gt;75,"Media","Baja"))</f>
        <v>Alta</v>
      </c>
      <c r="X119" t="str">
        <f>IF(AND(Tb_prod[[#This Row],[Consumo_Energia_MWh]]&lt;=2000,Tb_prod[[#This Row],[Riesgo_Ambiental]]="Alto"),"Crítica","Normal")</f>
        <v>Crítica</v>
      </c>
    </row>
    <row r="120" spans="1:24">
      <c r="A120">
        <v>53</v>
      </c>
      <c r="B120" t="str">
        <f>VLOOKUP(Tb_prod[[#This Row],[Región]],AUX_REGION[],2,0)</f>
        <v>Minera Staff</v>
      </c>
      <c r="C120" t="s">
        <v>12</v>
      </c>
      <c r="D120" t="s">
        <v>13</v>
      </c>
      <c r="E120" t="s">
        <v>19</v>
      </c>
      <c r="F120" t="s">
        <v>24</v>
      </c>
      <c r="G120" t="s">
        <v>22</v>
      </c>
      <c r="H120" s="23">
        <v>7000.79</v>
      </c>
      <c r="I120" s="23">
        <v>1385.95</v>
      </c>
      <c r="J120" s="23">
        <v>41105.68</v>
      </c>
      <c r="K120" s="23">
        <v>1093.51</v>
      </c>
      <c r="L120" s="10">
        <v>27245477880</v>
      </c>
      <c r="M120" s="9">
        <v>173534327100</v>
      </c>
      <c r="N120" s="12">
        <f xml:space="preserve"> Tb_prod[[#This Row],[Costo_Mantenimiento_CLP]] / Tb_prod[[#This Row],[Dias_Operación_Mes]]</f>
        <v>939499237.24137926</v>
      </c>
      <c r="O120" s="11">
        <f>Tb_prod[[#This Row],[Costo_Operativo_CLP]] / Tb_prod[[#This Row],[Producción_Toneladas]]</f>
        <v>24787820.674523875</v>
      </c>
      <c r="P120">
        <v>153</v>
      </c>
      <c r="Q120">
        <v>29</v>
      </c>
      <c r="R120" s="6">
        <v>45328</v>
      </c>
      <c r="S120" t="str">
        <f t="shared" si="2"/>
        <v>martes</v>
      </c>
      <c r="T120" t="str">
        <f t="shared" si="3"/>
        <v>febrero</v>
      </c>
      <c r="U120">
        <v>78.040000000000006</v>
      </c>
      <c r="V120">
        <f xml:space="preserve"> Tb_prod[[#This Row],[Emisiones_CO2_ton]] / Tb_prod[[#This Row],[Cantidad_Empleados]]</f>
        <v>7.147124183006536</v>
      </c>
      <c r="W120" t="str">
        <f>IF(Tb_prod[[#This Row],[Recuperación_Metal_Porcentaje]]&gt;90,"Alta",IF(Tb_prod[[#This Row],[Recuperación_Metal_Porcentaje]]&gt;75,"Media","Baja"))</f>
        <v>Media</v>
      </c>
      <c r="X120" t="str">
        <f>IF(AND(Tb_prod[[#This Row],[Consumo_Energia_MWh]]&lt;=2000,Tb_prod[[#This Row],[Riesgo_Ambiental]]="Alto"),"Crítica","Normal")</f>
        <v>Normal</v>
      </c>
    </row>
    <row r="121" spans="1:24">
      <c r="A121">
        <v>369</v>
      </c>
      <c r="B121" t="str">
        <f>VLOOKUP(Tb_prod[[#This Row],[Región]],AUX_REGION[],2,0)</f>
        <v>Minera Romero</v>
      </c>
      <c r="C121" t="s">
        <v>12</v>
      </c>
      <c r="D121" t="s">
        <v>23</v>
      </c>
      <c r="E121" t="s">
        <v>14</v>
      </c>
      <c r="F121" t="s">
        <v>24</v>
      </c>
      <c r="G121" t="s">
        <v>22</v>
      </c>
      <c r="H121" s="23">
        <v>4093.49</v>
      </c>
      <c r="I121" s="23">
        <v>2758.75</v>
      </c>
      <c r="J121" s="23">
        <v>41185.120000000003</v>
      </c>
      <c r="K121" s="23">
        <v>1041.18</v>
      </c>
      <c r="L121" s="10">
        <v>1380562275538.8899</v>
      </c>
      <c r="M121" s="9">
        <v>145669829490</v>
      </c>
      <c r="N121" s="12">
        <f xml:space="preserve"> Tb_prod[[#This Row],[Costo_Mantenimiento_CLP]] / Tb_prod[[#This Row],[Dias_Operación_Mes]]</f>
        <v>60024446762.560432</v>
      </c>
      <c r="O121" s="11">
        <f>Tb_prod[[#This Row],[Costo_Operativo_CLP]] / Tb_prod[[#This Row],[Producción_Toneladas]]</f>
        <v>35585729.900402837</v>
      </c>
      <c r="P121">
        <v>282</v>
      </c>
      <c r="Q121">
        <v>23</v>
      </c>
      <c r="R121" s="6">
        <v>45423</v>
      </c>
      <c r="S121" t="str">
        <f t="shared" si="2"/>
        <v>sábado</v>
      </c>
      <c r="T121" t="str">
        <f t="shared" si="3"/>
        <v>mayo</v>
      </c>
      <c r="U121">
        <v>96.77</v>
      </c>
      <c r="V121">
        <f xml:space="preserve"> Tb_prod[[#This Row],[Emisiones_CO2_ton]] / Tb_prod[[#This Row],[Cantidad_Empleados]]</f>
        <v>3.6921276595744681</v>
      </c>
      <c r="W121" t="str">
        <f>IF(Tb_prod[[#This Row],[Recuperación_Metal_Porcentaje]]&gt;90,"Alta",IF(Tb_prod[[#This Row],[Recuperación_Metal_Porcentaje]]&gt;75,"Media","Baja"))</f>
        <v>Alta</v>
      </c>
      <c r="X121" t="str">
        <f>IF(AND(Tb_prod[[#This Row],[Consumo_Energia_MWh]]&lt;=2000,Tb_prod[[#This Row],[Riesgo_Ambiental]]="Alto"),"Crítica","Normal")</f>
        <v>Normal</v>
      </c>
    </row>
    <row r="122" spans="1:24">
      <c r="A122">
        <v>237</v>
      </c>
      <c r="B122" t="str">
        <f>VLOOKUP(Tb_prod[[#This Row],[Región]],AUX_REGION[],2,0)</f>
        <v>Minera Romero</v>
      </c>
      <c r="C122" t="s">
        <v>27</v>
      </c>
      <c r="D122" t="s">
        <v>23</v>
      </c>
      <c r="E122" t="s">
        <v>19</v>
      </c>
      <c r="F122" t="s">
        <v>26</v>
      </c>
      <c r="G122" t="s">
        <v>22</v>
      </c>
      <c r="H122" s="23">
        <v>5977.11</v>
      </c>
      <c r="I122" s="23">
        <v>1725.12</v>
      </c>
      <c r="J122" s="23">
        <v>41409.839999999997</v>
      </c>
      <c r="K122" s="23">
        <v>576.96</v>
      </c>
      <c r="L122" s="10">
        <v>25596528030</v>
      </c>
      <c r="M122" s="9">
        <v>30884746050</v>
      </c>
      <c r="N122" s="12">
        <f xml:space="preserve"> Tb_prod[[#This Row],[Costo_Mantenimiento_CLP]] / Tb_prod[[#This Row],[Dias_Operación_Mes]]</f>
        <v>882638897.58620691</v>
      </c>
      <c r="O122" s="11">
        <f>Tb_prod[[#This Row],[Costo_Operativo_CLP]] / Tb_prod[[#This Row],[Producción_Toneladas]]</f>
        <v>5167170.4301911797</v>
      </c>
      <c r="P122">
        <v>181</v>
      </c>
      <c r="Q122">
        <v>29</v>
      </c>
      <c r="R122" s="6">
        <v>45742</v>
      </c>
      <c r="S122" t="str">
        <f t="shared" si="2"/>
        <v>miércoles</v>
      </c>
      <c r="T122" t="str">
        <f t="shared" si="3"/>
        <v>marzo</v>
      </c>
      <c r="U122">
        <v>70.459999999999994</v>
      </c>
      <c r="V122">
        <f xml:space="preserve"> Tb_prod[[#This Row],[Emisiones_CO2_ton]] / Tb_prod[[#This Row],[Cantidad_Empleados]]</f>
        <v>3.1876243093922656</v>
      </c>
      <c r="W122" t="str">
        <f>IF(Tb_prod[[#This Row],[Recuperación_Metal_Porcentaje]]&gt;90,"Alta",IF(Tb_prod[[#This Row],[Recuperación_Metal_Porcentaje]]&gt;75,"Media","Baja"))</f>
        <v>Baja</v>
      </c>
      <c r="X122" t="str">
        <f>IF(AND(Tb_prod[[#This Row],[Consumo_Energia_MWh]]&lt;=2000,Tb_prod[[#This Row],[Riesgo_Ambiental]]="Alto"),"Crítica","Normal")</f>
        <v>Normal</v>
      </c>
    </row>
    <row r="123" spans="1:24">
      <c r="A123">
        <v>361</v>
      </c>
      <c r="B123" t="str">
        <f>VLOOKUP(Tb_prod[[#This Row],[Región]],AUX_REGION[],2,0)</f>
        <v>Minera Romero</v>
      </c>
      <c r="C123" t="s">
        <v>12</v>
      </c>
      <c r="D123" t="s">
        <v>23</v>
      </c>
      <c r="E123" t="s">
        <v>14</v>
      </c>
      <c r="F123" t="s">
        <v>26</v>
      </c>
      <c r="G123" t="s">
        <v>22</v>
      </c>
      <c r="H123" s="23">
        <v>6258.78</v>
      </c>
      <c r="I123" s="23">
        <v>2051.64</v>
      </c>
      <c r="J123" s="23">
        <v>41479.9</v>
      </c>
      <c r="K123" s="23">
        <v>630.55999999999995</v>
      </c>
      <c r="L123" s="10">
        <v>3005055900</v>
      </c>
      <c r="M123" s="9">
        <v>117623143260</v>
      </c>
      <c r="N123" s="12">
        <f xml:space="preserve"> Tb_prod[[#This Row],[Costo_Mantenimiento_CLP]] / Tb_prod[[#This Row],[Dias_Operación_Mes]]</f>
        <v>103622617.24137931</v>
      </c>
      <c r="O123" s="11">
        <f>Tb_prod[[#This Row],[Costo_Operativo_CLP]] / Tb_prod[[#This Row],[Producción_Toneladas]]</f>
        <v>18793302.090822812</v>
      </c>
      <c r="P123">
        <v>227</v>
      </c>
      <c r="Q123">
        <v>29</v>
      </c>
      <c r="R123" s="6">
        <v>45368</v>
      </c>
      <c r="S123" t="str">
        <f t="shared" si="2"/>
        <v>domingo</v>
      </c>
      <c r="T123" t="str">
        <f t="shared" si="3"/>
        <v>marzo</v>
      </c>
      <c r="U123">
        <v>91.02</v>
      </c>
      <c r="V123">
        <f xml:space="preserve"> Tb_prod[[#This Row],[Emisiones_CO2_ton]] / Tb_prod[[#This Row],[Cantidad_Empleados]]</f>
        <v>2.7777973568281937</v>
      </c>
      <c r="W123" t="str">
        <f>IF(Tb_prod[[#This Row],[Recuperación_Metal_Porcentaje]]&gt;90,"Alta",IF(Tb_prod[[#This Row],[Recuperación_Metal_Porcentaje]]&gt;75,"Media","Baja"))</f>
        <v>Alta</v>
      </c>
      <c r="X123" t="str">
        <f>IF(AND(Tb_prod[[#This Row],[Consumo_Energia_MWh]]&lt;=2000,Tb_prod[[#This Row],[Riesgo_Ambiental]]="Alto"),"Crítica","Normal")</f>
        <v>Normal</v>
      </c>
    </row>
    <row r="124" spans="1:24">
      <c r="A124">
        <v>421</v>
      </c>
      <c r="B124" t="str">
        <f>VLOOKUP(Tb_prod[[#This Row],[Región]],AUX_REGION[],2,0)</f>
        <v>Minera Romero</v>
      </c>
      <c r="C124" t="s">
        <v>25</v>
      </c>
      <c r="D124" t="s">
        <v>23</v>
      </c>
      <c r="E124" t="s">
        <v>19</v>
      </c>
      <c r="F124" t="s">
        <v>26</v>
      </c>
      <c r="G124" t="s">
        <v>22</v>
      </c>
      <c r="H124" s="23">
        <v>5381.37</v>
      </c>
      <c r="I124" s="23">
        <v>1640.98</v>
      </c>
      <c r="J124" s="23">
        <v>41593.07</v>
      </c>
      <c r="K124" s="23">
        <v>1177.5999999999999</v>
      </c>
      <c r="L124" s="10">
        <v>9230778540</v>
      </c>
      <c r="M124" s="9">
        <v>92322891900</v>
      </c>
      <c r="N124" s="12">
        <f xml:space="preserve"> Tb_prod[[#This Row],[Costo_Mantenimiento_CLP]] / Tb_prod[[#This Row],[Dias_Operación_Mes]]</f>
        <v>461538927</v>
      </c>
      <c r="O124" s="11">
        <f>Tb_prod[[#This Row],[Costo_Operativo_CLP]] / Tb_prod[[#This Row],[Producción_Toneladas]]</f>
        <v>17156020.102687605</v>
      </c>
      <c r="P124">
        <v>219</v>
      </c>
      <c r="Q124">
        <v>20</v>
      </c>
      <c r="R124" s="6">
        <v>45371</v>
      </c>
      <c r="S124" t="str">
        <f t="shared" si="2"/>
        <v>miércoles</v>
      </c>
      <c r="T124" t="str">
        <f t="shared" si="3"/>
        <v>marzo</v>
      </c>
      <c r="U124">
        <v>77.06</v>
      </c>
      <c r="V124">
        <f xml:space="preserve"> Tb_prod[[#This Row],[Emisiones_CO2_ton]] / Tb_prod[[#This Row],[Cantidad_Empleados]]</f>
        <v>5.377168949771689</v>
      </c>
      <c r="W124" t="str">
        <f>IF(Tb_prod[[#This Row],[Recuperación_Metal_Porcentaje]]&gt;90,"Alta",IF(Tb_prod[[#This Row],[Recuperación_Metal_Porcentaje]]&gt;75,"Media","Baja"))</f>
        <v>Media</v>
      </c>
      <c r="X124" t="str">
        <f>IF(AND(Tb_prod[[#This Row],[Consumo_Energia_MWh]]&lt;=2000,Tb_prod[[#This Row],[Riesgo_Ambiental]]="Alto"),"Crítica","Normal")</f>
        <v>Normal</v>
      </c>
    </row>
    <row r="125" spans="1:24">
      <c r="A125">
        <v>257</v>
      </c>
      <c r="B125" t="str">
        <f>VLOOKUP(Tb_prod[[#This Row],[Región]],AUX_REGION[],2,0)</f>
        <v>Minera Staff</v>
      </c>
      <c r="C125" t="s">
        <v>27</v>
      </c>
      <c r="D125" t="s">
        <v>13</v>
      </c>
      <c r="E125" t="s">
        <v>19</v>
      </c>
      <c r="F125" t="s">
        <v>15</v>
      </c>
      <c r="G125" t="s">
        <v>22</v>
      </c>
      <c r="H125" s="23">
        <v>3734.94</v>
      </c>
      <c r="I125" s="23">
        <v>2048.94</v>
      </c>
      <c r="J125" s="23">
        <v>41606.18</v>
      </c>
      <c r="K125" s="23">
        <v>1438.52</v>
      </c>
      <c r="L125" s="10">
        <v>3093708060</v>
      </c>
      <c r="M125" s="9">
        <v>45555649020</v>
      </c>
      <c r="N125" s="12">
        <f xml:space="preserve"> Tb_prod[[#This Row],[Costo_Mantenimiento_CLP]] / Tb_prod[[#This Row],[Dias_Operación_Mes]]</f>
        <v>110489573.57142857</v>
      </c>
      <c r="O125" s="11">
        <f>Tb_prod[[#This Row],[Costo_Operativo_CLP]] / Tb_prod[[#This Row],[Producción_Toneladas]]</f>
        <v>12197156.853925364</v>
      </c>
      <c r="P125">
        <v>121</v>
      </c>
      <c r="Q125">
        <v>28</v>
      </c>
      <c r="R125" s="6">
        <v>45116</v>
      </c>
      <c r="S125" t="str">
        <f t="shared" si="2"/>
        <v>domingo</v>
      </c>
      <c r="T125" t="str">
        <f t="shared" si="3"/>
        <v>julio</v>
      </c>
      <c r="U125">
        <v>75.56</v>
      </c>
      <c r="V125">
        <f xml:space="preserve"> Tb_prod[[#This Row],[Emisiones_CO2_ton]] / Tb_prod[[#This Row],[Cantidad_Empleados]]</f>
        <v>11.888595041322313</v>
      </c>
      <c r="W125" t="str">
        <f>IF(Tb_prod[[#This Row],[Recuperación_Metal_Porcentaje]]&gt;90,"Alta",IF(Tb_prod[[#This Row],[Recuperación_Metal_Porcentaje]]&gt;75,"Media","Baja"))</f>
        <v>Media</v>
      </c>
      <c r="X125" t="str">
        <f>IF(AND(Tb_prod[[#This Row],[Consumo_Energia_MWh]]&lt;=2000,Tb_prod[[#This Row],[Riesgo_Ambiental]]="Alto"),"Crítica","Normal")</f>
        <v>Normal</v>
      </c>
    </row>
    <row r="126" spans="1:24">
      <c r="A126">
        <v>427</v>
      </c>
      <c r="B126" t="str">
        <f>VLOOKUP(Tb_prod[[#This Row],[Región]],AUX_REGION[],2,0)</f>
        <v>Minera Romero</v>
      </c>
      <c r="C126" t="s">
        <v>27</v>
      </c>
      <c r="D126" t="s">
        <v>23</v>
      </c>
      <c r="E126" t="s">
        <v>14</v>
      </c>
      <c r="F126" t="s">
        <v>26</v>
      </c>
      <c r="G126" t="s">
        <v>20</v>
      </c>
      <c r="H126" s="23">
        <v>4189.5200000000004</v>
      </c>
      <c r="I126" s="23">
        <v>3166.33</v>
      </c>
      <c r="J126" s="23">
        <v>41920.53</v>
      </c>
      <c r="K126" s="23">
        <v>472.54</v>
      </c>
      <c r="L126" s="10">
        <v>39042533160</v>
      </c>
      <c r="M126" s="9">
        <v>98308808820</v>
      </c>
      <c r="N126" s="12">
        <f xml:space="preserve"> Tb_prod[[#This Row],[Costo_Mantenimiento_CLP]] / Tb_prod[[#This Row],[Dias_Operación_Mes]]</f>
        <v>1561701326.4000001</v>
      </c>
      <c r="O126" s="11">
        <f>Tb_prod[[#This Row],[Costo_Operativo_CLP]] / Tb_prod[[#This Row],[Producción_Toneladas]]</f>
        <v>23465411.030380566</v>
      </c>
      <c r="P126">
        <v>253</v>
      </c>
      <c r="Q126">
        <v>25</v>
      </c>
      <c r="R126" s="6">
        <v>45118</v>
      </c>
      <c r="S126" t="str">
        <f t="shared" si="2"/>
        <v>martes</v>
      </c>
      <c r="T126" t="str">
        <f t="shared" si="3"/>
        <v>julio</v>
      </c>
      <c r="U126">
        <v>70.44</v>
      </c>
      <c r="V126">
        <f xml:space="preserve"> Tb_prod[[#This Row],[Emisiones_CO2_ton]] / Tb_prod[[#This Row],[Cantidad_Empleados]]</f>
        <v>1.8677470355731227</v>
      </c>
      <c r="W126" t="str">
        <f>IF(Tb_prod[[#This Row],[Recuperación_Metal_Porcentaje]]&gt;90,"Alta",IF(Tb_prod[[#This Row],[Recuperación_Metal_Porcentaje]]&gt;75,"Media","Baja"))</f>
        <v>Baja</v>
      </c>
      <c r="X126" t="str">
        <f>IF(AND(Tb_prod[[#This Row],[Consumo_Energia_MWh]]&lt;=2000,Tb_prod[[#This Row],[Riesgo_Ambiental]]="Alto"),"Crítica","Normal")</f>
        <v>Normal</v>
      </c>
    </row>
    <row r="127" spans="1:24">
      <c r="A127">
        <v>112</v>
      </c>
      <c r="B127" t="str">
        <f>VLOOKUP(Tb_prod[[#This Row],[Región]],AUX_REGION[],2,0)</f>
        <v>Minera Staff</v>
      </c>
      <c r="C127" t="s">
        <v>21</v>
      </c>
      <c r="D127" t="s">
        <v>13</v>
      </c>
      <c r="E127" t="s">
        <v>19</v>
      </c>
      <c r="F127" t="s">
        <v>26</v>
      </c>
      <c r="G127" t="s">
        <v>22</v>
      </c>
      <c r="H127" s="23">
        <v>5344.47</v>
      </c>
      <c r="I127" s="23">
        <v>1215.17</v>
      </c>
      <c r="J127" s="23">
        <v>41946.28</v>
      </c>
      <c r="K127" s="23">
        <v>949.57</v>
      </c>
      <c r="L127" s="10">
        <v>148905762469056</v>
      </c>
      <c r="M127" s="9">
        <v>131196891870</v>
      </c>
      <c r="N127" s="12">
        <f xml:space="preserve"> Tb_prod[[#This Row],[Costo_Mantenimiento_CLP]] / Tb_prod[[#This Row],[Dias_Operación_Mes]]</f>
        <v>5956230498762.2402</v>
      </c>
      <c r="O127" s="11">
        <f>Tb_prod[[#This Row],[Costo_Operativo_CLP]] / Tb_prod[[#This Row],[Producción_Toneladas]]</f>
        <v>24548157.604028087</v>
      </c>
      <c r="P127">
        <v>283</v>
      </c>
      <c r="Q127">
        <v>25</v>
      </c>
      <c r="R127" s="6">
        <v>45818</v>
      </c>
      <c r="S127" t="str">
        <f t="shared" si="2"/>
        <v>martes</v>
      </c>
      <c r="T127" t="str">
        <f t="shared" si="3"/>
        <v>junio</v>
      </c>
      <c r="U127">
        <v>74.33</v>
      </c>
      <c r="V127">
        <f xml:space="preserve"> Tb_prod[[#This Row],[Emisiones_CO2_ton]] / Tb_prod[[#This Row],[Cantidad_Empleados]]</f>
        <v>3.3553710247349824</v>
      </c>
      <c r="W127" t="str">
        <f>IF(Tb_prod[[#This Row],[Recuperación_Metal_Porcentaje]]&gt;90,"Alta",IF(Tb_prod[[#This Row],[Recuperación_Metal_Porcentaje]]&gt;75,"Media","Baja"))</f>
        <v>Baja</v>
      </c>
      <c r="X127" t="str">
        <f>IF(AND(Tb_prod[[#This Row],[Consumo_Energia_MWh]]&lt;=2000,Tb_prod[[#This Row],[Riesgo_Ambiental]]="Alto"),"Crítica","Normal")</f>
        <v>Normal</v>
      </c>
    </row>
    <row r="128" spans="1:24">
      <c r="A128">
        <v>346</v>
      </c>
      <c r="B128" t="str">
        <f>VLOOKUP(Tb_prod[[#This Row],[Región]],AUX_REGION[],2,0)</f>
        <v>Minera Staff</v>
      </c>
      <c r="C128" t="s">
        <v>25</v>
      </c>
      <c r="D128" t="s">
        <v>13</v>
      </c>
      <c r="E128" t="s">
        <v>14</v>
      </c>
      <c r="F128" t="s">
        <v>24</v>
      </c>
      <c r="G128" t="s">
        <v>22</v>
      </c>
      <c r="H128" s="23">
        <v>5758.14</v>
      </c>
      <c r="I128" s="23">
        <v>2601.83</v>
      </c>
      <c r="J128" s="23">
        <v>42026.02</v>
      </c>
      <c r="K128" s="23">
        <v>1195.3499999999999</v>
      </c>
      <c r="L128" s="10">
        <v>22260423870</v>
      </c>
      <c r="M128" s="9">
        <v>4282555000</v>
      </c>
      <c r="N128" s="12">
        <f xml:space="preserve"> Tb_prod[[#This Row],[Costo_Mantenimiento_CLP]] / Tb_prod[[#This Row],[Dias_Operación_Mes]]</f>
        <v>927517661.25</v>
      </c>
      <c r="O128" s="11">
        <f>Tb_prod[[#This Row],[Costo_Operativo_CLP]] / Tb_prod[[#This Row],[Producción_Toneladas]]</f>
        <v>743739.29775934585</v>
      </c>
      <c r="P128">
        <v>152</v>
      </c>
      <c r="Q128">
        <v>24</v>
      </c>
      <c r="R128" s="6">
        <v>45020</v>
      </c>
      <c r="S128" t="str">
        <f t="shared" si="2"/>
        <v>martes</v>
      </c>
      <c r="T128" t="str">
        <f t="shared" si="3"/>
        <v>abril</v>
      </c>
      <c r="U128">
        <v>73.25</v>
      </c>
      <c r="V128">
        <f xml:space="preserve"> Tb_prod[[#This Row],[Emisiones_CO2_ton]] / Tb_prod[[#This Row],[Cantidad_Empleados]]</f>
        <v>7.8641447368421042</v>
      </c>
      <c r="W128" t="str">
        <f>IF(Tb_prod[[#This Row],[Recuperación_Metal_Porcentaje]]&gt;90,"Alta",IF(Tb_prod[[#This Row],[Recuperación_Metal_Porcentaje]]&gt;75,"Media","Baja"))</f>
        <v>Baja</v>
      </c>
      <c r="X128" t="str">
        <f>IF(AND(Tb_prod[[#This Row],[Consumo_Energia_MWh]]&lt;=2000,Tb_prod[[#This Row],[Riesgo_Ambiental]]="Alto"),"Crítica","Normal")</f>
        <v>Normal</v>
      </c>
    </row>
    <row r="129" spans="1:24">
      <c r="A129">
        <v>256</v>
      </c>
      <c r="B129" t="str">
        <f>VLOOKUP(Tb_prod[[#This Row],[Región]],AUX_REGION[],2,0)</f>
        <v>Minera Staff</v>
      </c>
      <c r="C129" t="s">
        <v>21</v>
      </c>
      <c r="D129" t="s">
        <v>13</v>
      </c>
      <c r="E129" t="s">
        <v>14</v>
      </c>
      <c r="F129" t="s">
        <v>15</v>
      </c>
      <c r="G129" t="s">
        <v>16</v>
      </c>
      <c r="H129" s="23">
        <v>2003.88</v>
      </c>
      <c r="I129" s="23">
        <v>2509</v>
      </c>
      <c r="J129" s="23">
        <v>42079.62</v>
      </c>
      <c r="K129" s="23">
        <v>1123.22</v>
      </c>
      <c r="L129" s="10">
        <v>1363617354538.8899</v>
      </c>
      <c r="M129" s="9">
        <v>98186608890</v>
      </c>
      <c r="N129" s="12">
        <f xml:space="preserve"> Tb_prod[[#This Row],[Costo_Mantenimiento_CLP]] / Tb_prod[[#This Row],[Dias_Operación_Mes]]</f>
        <v>64934159739.947136</v>
      </c>
      <c r="O129" s="11">
        <f>Tb_prod[[#This Row],[Costo_Operativo_CLP]] / Tb_prod[[#This Row],[Producción_Toneladas]]</f>
        <v>48998247.844182283</v>
      </c>
      <c r="P129">
        <v>107</v>
      </c>
      <c r="Q129">
        <v>21</v>
      </c>
      <c r="R129" s="6">
        <v>45179</v>
      </c>
      <c r="S129" t="str">
        <f t="shared" si="2"/>
        <v>domingo</v>
      </c>
      <c r="T129" t="str">
        <f t="shared" si="3"/>
        <v>septiembre</v>
      </c>
      <c r="U129">
        <v>72.290000000000006</v>
      </c>
      <c r="V129">
        <f xml:space="preserve"> Tb_prod[[#This Row],[Emisiones_CO2_ton]] / Tb_prod[[#This Row],[Cantidad_Empleados]]</f>
        <v>10.497383177570093</v>
      </c>
      <c r="W129" t="str">
        <f>IF(Tb_prod[[#This Row],[Recuperación_Metal_Porcentaje]]&gt;90,"Alta",IF(Tb_prod[[#This Row],[Recuperación_Metal_Porcentaje]]&gt;75,"Media","Baja"))</f>
        <v>Baja</v>
      </c>
      <c r="X129" t="str">
        <f>IF(AND(Tb_prod[[#This Row],[Consumo_Energia_MWh]]&lt;=2000,Tb_prod[[#This Row],[Riesgo_Ambiental]]="Alto"),"Crítica","Normal")</f>
        <v>Normal</v>
      </c>
    </row>
    <row r="130" spans="1:24">
      <c r="A130">
        <v>492</v>
      </c>
      <c r="B130" t="str">
        <f>VLOOKUP(Tb_prod[[#This Row],[Región]],AUX_REGION[],2,0)</f>
        <v>Minera Staff</v>
      </c>
      <c r="C130" t="s">
        <v>17</v>
      </c>
      <c r="D130" t="s">
        <v>13</v>
      </c>
      <c r="E130" t="s">
        <v>14</v>
      </c>
      <c r="F130" t="s">
        <v>15</v>
      </c>
      <c r="G130" t="s">
        <v>22</v>
      </c>
      <c r="H130" s="23">
        <v>6305.86</v>
      </c>
      <c r="I130" s="23">
        <v>1949.44</v>
      </c>
      <c r="J130" s="23">
        <v>42177.65</v>
      </c>
      <c r="K130" s="23">
        <v>1221.55</v>
      </c>
      <c r="L130" s="10">
        <v>32344709130</v>
      </c>
      <c r="M130" s="9">
        <v>56455769520</v>
      </c>
      <c r="N130" s="12">
        <f xml:space="preserve"> Tb_prod[[#This Row],[Costo_Mantenimiento_CLP]] / Tb_prod[[#This Row],[Dias_Operación_Mes]]</f>
        <v>1244027274.2307692</v>
      </c>
      <c r="O130" s="11">
        <f>Tb_prod[[#This Row],[Costo_Operativo_CLP]] / Tb_prod[[#This Row],[Producción_Toneladas]]</f>
        <v>8952905.6338072848</v>
      </c>
      <c r="P130">
        <v>207</v>
      </c>
      <c r="Q130">
        <v>26</v>
      </c>
      <c r="R130" s="6">
        <v>45717</v>
      </c>
      <c r="S130" t="str">
        <f t="shared" ref="S130:S193" si="4">TEXT(R130,"dddd")</f>
        <v>sábado</v>
      </c>
      <c r="T130" t="str">
        <f t="shared" ref="T130:T193" si="5">TEXT(R130,"mmmm")</f>
        <v>marzo</v>
      </c>
      <c r="U130">
        <v>81.13</v>
      </c>
      <c r="V130">
        <f xml:space="preserve"> Tb_prod[[#This Row],[Emisiones_CO2_ton]] / Tb_prod[[#This Row],[Cantidad_Empleados]]</f>
        <v>5.9012077294685987</v>
      </c>
      <c r="W130" t="str">
        <f>IF(Tb_prod[[#This Row],[Recuperación_Metal_Porcentaje]]&gt;90,"Alta",IF(Tb_prod[[#This Row],[Recuperación_Metal_Porcentaje]]&gt;75,"Media","Baja"))</f>
        <v>Media</v>
      </c>
      <c r="X130" t="str">
        <f>IF(AND(Tb_prod[[#This Row],[Consumo_Energia_MWh]]&lt;=2000,Tb_prod[[#This Row],[Riesgo_Ambiental]]="Alto"),"Crítica","Normal")</f>
        <v>Normal</v>
      </c>
    </row>
    <row r="131" spans="1:24">
      <c r="A131">
        <v>174</v>
      </c>
      <c r="B131" t="str">
        <f>VLOOKUP(Tb_prod[[#This Row],[Región]],AUX_REGION[],2,0)</f>
        <v>Minera Romero</v>
      </c>
      <c r="C131" t="s">
        <v>12</v>
      </c>
      <c r="D131" t="s">
        <v>23</v>
      </c>
      <c r="E131" t="s">
        <v>19</v>
      </c>
      <c r="F131" t="s">
        <v>15</v>
      </c>
      <c r="G131" t="s">
        <v>22</v>
      </c>
      <c r="H131" s="23">
        <v>6096.72</v>
      </c>
      <c r="I131" s="23">
        <v>1778.61</v>
      </c>
      <c r="J131" s="23">
        <v>42244.22</v>
      </c>
      <c r="K131" s="23">
        <v>1310.86</v>
      </c>
      <c r="L131" s="10">
        <v>23095715760</v>
      </c>
      <c r="M131" s="9">
        <v>178343131500</v>
      </c>
      <c r="N131" s="12">
        <f xml:space="preserve"> Tb_prod[[#This Row],[Costo_Mantenimiento_CLP]] / Tb_prod[[#This Row],[Dias_Operación_Mes]]</f>
        <v>769857192</v>
      </c>
      <c r="O131" s="11">
        <f>Tb_prod[[#This Row],[Costo_Operativo_CLP]] / Tb_prod[[#This Row],[Producción_Toneladas]]</f>
        <v>29252308.044325471</v>
      </c>
      <c r="P131">
        <v>183</v>
      </c>
      <c r="Q131">
        <v>30</v>
      </c>
      <c r="R131" s="6">
        <v>45415</v>
      </c>
      <c r="S131" t="str">
        <f t="shared" si="4"/>
        <v>viernes</v>
      </c>
      <c r="T131" t="str">
        <f t="shared" si="5"/>
        <v>mayo</v>
      </c>
      <c r="U131">
        <v>89.5</v>
      </c>
      <c r="V131">
        <f xml:space="preserve"> Tb_prod[[#This Row],[Emisiones_CO2_ton]] / Tb_prod[[#This Row],[Cantidad_Empleados]]</f>
        <v>7.1631693989071037</v>
      </c>
      <c r="W131" t="str">
        <f>IF(Tb_prod[[#This Row],[Recuperación_Metal_Porcentaje]]&gt;90,"Alta",IF(Tb_prod[[#This Row],[Recuperación_Metal_Porcentaje]]&gt;75,"Media","Baja"))</f>
        <v>Media</v>
      </c>
      <c r="X131" t="str">
        <f>IF(AND(Tb_prod[[#This Row],[Consumo_Energia_MWh]]&lt;=2000,Tb_prod[[#This Row],[Riesgo_Ambiental]]="Alto"),"Crítica","Normal")</f>
        <v>Normal</v>
      </c>
    </row>
    <row r="132" spans="1:24">
      <c r="A132">
        <v>54</v>
      </c>
      <c r="B132" t="str">
        <f>VLOOKUP(Tb_prod[[#This Row],[Región]],AUX_REGION[],2,0)</f>
        <v>Minera del Norte</v>
      </c>
      <c r="C132" t="s">
        <v>17</v>
      </c>
      <c r="D132" t="s">
        <v>18</v>
      </c>
      <c r="E132" t="s">
        <v>14</v>
      </c>
      <c r="F132" t="s">
        <v>24</v>
      </c>
      <c r="G132" t="s">
        <v>16</v>
      </c>
      <c r="H132" s="23">
        <v>5476.72</v>
      </c>
      <c r="I132" s="23">
        <v>2181.0300000000002</v>
      </c>
      <c r="J132" s="23">
        <v>42268.62</v>
      </c>
      <c r="K132" s="23">
        <v>865.37</v>
      </c>
      <c r="L132" s="10">
        <v>25657317000</v>
      </c>
      <c r="M132" s="9">
        <v>59702402070</v>
      </c>
      <c r="N132" s="12">
        <f xml:space="preserve"> Tb_prod[[#This Row],[Costo_Mantenimiento_CLP]] / Tb_prod[[#This Row],[Dias_Operación_Mes]]</f>
        <v>855243900</v>
      </c>
      <c r="O132" s="11">
        <f>Tb_prod[[#This Row],[Costo_Operativo_CLP]] / Tb_prod[[#This Row],[Producción_Toneladas]]</f>
        <v>10901123.678040871</v>
      </c>
      <c r="P132">
        <v>188</v>
      </c>
      <c r="Q132">
        <v>30</v>
      </c>
      <c r="R132" s="6">
        <v>45685</v>
      </c>
      <c r="S132" t="str">
        <f t="shared" si="4"/>
        <v>martes</v>
      </c>
      <c r="T132" t="str">
        <f t="shared" si="5"/>
        <v>enero</v>
      </c>
      <c r="U132">
        <v>83.04</v>
      </c>
      <c r="V132">
        <f xml:space="preserve"> Tb_prod[[#This Row],[Emisiones_CO2_ton]] / Tb_prod[[#This Row],[Cantidad_Empleados]]</f>
        <v>4.6030319148936174</v>
      </c>
      <c r="W132" t="str">
        <f>IF(Tb_prod[[#This Row],[Recuperación_Metal_Porcentaje]]&gt;90,"Alta",IF(Tb_prod[[#This Row],[Recuperación_Metal_Porcentaje]]&gt;75,"Media","Baja"))</f>
        <v>Media</v>
      </c>
      <c r="X132" t="str">
        <f>IF(AND(Tb_prod[[#This Row],[Consumo_Energia_MWh]]&lt;=2000,Tb_prod[[#This Row],[Riesgo_Ambiental]]="Alto"),"Crítica","Normal")</f>
        <v>Normal</v>
      </c>
    </row>
    <row r="133" spans="1:24">
      <c r="A133">
        <v>116</v>
      </c>
      <c r="B133" t="str">
        <f>VLOOKUP(Tb_prod[[#This Row],[Región]],AUX_REGION[],2,0)</f>
        <v>Minera Romero</v>
      </c>
      <c r="C133" t="s">
        <v>17</v>
      </c>
      <c r="D133" t="s">
        <v>23</v>
      </c>
      <c r="E133" t="s">
        <v>14</v>
      </c>
      <c r="F133" t="s">
        <v>15</v>
      </c>
      <c r="G133" t="s">
        <v>20</v>
      </c>
      <c r="H133" s="23">
        <v>4053.51</v>
      </c>
      <c r="I133" s="23">
        <v>2332.3000000000002</v>
      </c>
      <c r="J133" s="23">
        <v>42280.11</v>
      </c>
      <c r="K133" s="23">
        <v>718.2</v>
      </c>
      <c r="L133" s="10">
        <v>31009394430</v>
      </c>
      <c r="M133" s="9">
        <v>118613363310</v>
      </c>
      <c r="N133" s="12">
        <f xml:space="preserve"> Tb_prod[[#This Row],[Costo_Mantenimiento_CLP]] / Tb_prod[[#This Row],[Dias_Operación_Mes]]</f>
        <v>1476637830</v>
      </c>
      <c r="O133" s="11">
        <f>Tb_prod[[#This Row],[Costo_Operativo_CLP]] / Tb_prod[[#This Row],[Producción_Toneladas]]</f>
        <v>29261889.895423964</v>
      </c>
      <c r="P133">
        <v>230</v>
      </c>
      <c r="Q133">
        <v>21</v>
      </c>
      <c r="R133" s="6">
        <v>45947</v>
      </c>
      <c r="S133" t="str">
        <f t="shared" si="4"/>
        <v>viernes</v>
      </c>
      <c r="T133" t="str">
        <f t="shared" si="5"/>
        <v>octubre</v>
      </c>
      <c r="U133">
        <v>78.77</v>
      </c>
      <c r="V133">
        <f xml:space="preserve"> Tb_prod[[#This Row],[Emisiones_CO2_ton]] / Tb_prod[[#This Row],[Cantidad_Empleados]]</f>
        <v>3.1226086956521741</v>
      </c>
      <c r="W133" t="str">
        <f>IF(Tb_prod[[#This Row],[Recuperación_Metal_Porcentaje]]&gt;90,"Alta",IF(Tb_prod[[#This Row],[Recuperación_Metal_Porcentaje]]&gt;75,"Media","Baja"))</f>
        <v>Media</v>
      </c>
      <c r="X133" t="str">
        <f>IF(AND(Tb_prod[[#This Row],[Consumo_Energia_MWh]]&lt;=2000,Tb_prod[[#This Row],[Riesgo_Ambiental]]="Alto"),"Crítica","Normal")</f>
        <v>Normal</v>
      </c>
    </row>
    <row r="134" spans="1:24">
      <c r="A134">
        <v>428</v>
      </c>
      <c r="B134" t="str">
        <f>VLOOKUP(Tb_prod[[#This Row],[Región]],AUX_REGION[],2,0)</f>
        <v>Minera del Norte</v>
      </c>
      <c r="C134" t="s">
        <v>17</v>
      </c>
      <c r="D134" t="s">
        <v>18</v>
      </c>
      <c r="E134" t="s">
        <v>14</v>
      </c>
      <c r="F134" t="s">
        <v>15</v>
      </c>
      <c r="G134" t="s">
        <v>22</v>
      </c>
      <c r="H134" s="23">
        <v>5770.31</v>
      </c>
      <c r="I134" s="23">
        <v>1026.25</v>
      </c>
      <c r="J134" s="23">
        <v>42312.93</v>
      </c>
      <c r="K134" s="23">
        <v>1191.54</v>
      </c>
      <c r="L134" s="10">
        <v>5945583780</v>
      </c>
      <c r="M134" s="9">
        <v>126743462280</v>
      </c>
      <c r="N134" s="12">
        <f xml:space="preserve"> Tb_prod[[#This Row],[Costo_Mantenimiento_CLP]] / Tb_prod[[#This Row],[Dias_Operación_Mes]]</f>
        <v>237823351.19999999</v>
      </c>
      <c r="O134" s="11">
        <f>Tb_prod[[#This Row],[Costo_Operativo_CLP]] / Tb_prod[[#This Row],[Producción_Toneladas]]</f>
        <v>21964757.921151549</v>
      </c>
      <c r="P134">
        <v>249</v>
      </c>
      <c r="Q134">
        <v>25</v>
      </c>
      <c r="R134" s="6">
        <v>45383</v>
      </c>
      <c r="S134" t="str">
        <f t="shared" si="4"/>
        <v>lunes</v>
      </c>
      <c r="T134" t="str">
        <f t="shared" si="5"/>
        <v>abril</v>
      </c>
      <c r="U134">
        <v>92.64</v>
      </c>
      <c r="V134">
        <f xml:space="preserve"> Tb_prod[[#This Row],[Emisiones_CO2_ton]] / Tb_prod[[#This Row],[Cantidad_Empleados]]</f>
        <v>4.7853012048192767</v>
      </c>
      <c r="W134" t="str">
        <f>IF(Tb_prod[[#This Row],[Recuperación_Metal_Porcentaje]]&gt;90,"Alta",IF(Tb_prod[[#This Row],[Recuperación_Metal_Porcentaje]]&gt;75,"Media","Baja"))</f>
        <v>Alta</v>
      </c>
      <c r="X134" t="str">
        <f>IF(AND(Tb_prod[[#This Row],[Consumo_Energia_MWh]]&lt;=2000,Tb_prod[[#This Row],[Riesgo_Ambiental]]="Alto"),"Crítica","Normal")</f>
        <v>Normal</v>
      </c>
    </row>
    <row r="135" spans="1:24">
      <c r="A135">
        <v>420</v>
      </c>
      <c r="B135" t="str">
        <f>VLOOKUP(Tb_prod[[#This Row],[Región]],AUX_REGION[],2,0)</f>
        <v>Minera Staff</v>
      </c>
      <c r="C135" t="s">
        <v>12</v>
      </c>
      <c r="D135" t="s">
        <v>13</v>
      </c>
      <c r="E135" t="s">
        <v>19</v>
      </c>
      <c r="F135" t="s">
        <v>24</v>
      </c>
      <c r="G135" t="s">
        <v>16</v>
      </c>
      <c r="H135" s="23">
        <v>6468.34</v>
      </c>
      <c r="I135" s="23">
        <v>2096.94</v>
      </c>
      <c r="J135" s="23">
        <v>42398.04</v>
      </c>
      <c r="K135" s="23">
        <v>885.2</v>
      </c>
      <c r="L135" s="10">
        <v>2910734370</v>
      </c>
      <c r="M135" s="9">
        <v>119911163940</v>
      </c>
      <c r="N135" s="12">
        <f xml:space="preserve"> Tb_prod[[#This Row],[Costo_Mantenimiento_CLP]] / Tb_prod[[#This Row],[Dias_Operación_Mes]]</f>
        <v>107804976.66666667</v>
      </c>
      <c r="O135" s="11">
        <f>Tb_prod[[#This Row],[Costo_Operativo_CLP]] / Tb_prod[[#This Row],[Producción_Toneladas]]</f>
        <v>18538166.50639886</v>
      </c>
      <c r="P135">
        <v>178</v>
      </c>
      <c r="Q135">
        <v>27</v>
      </c>
      <c r="R135" s="6">
        <v>45322</v>
      </c>
      <c r="S135" t="str">
        <f t="shared" si="4"/>
        <v>miércoles</v>
      </c>
      <c r="T135" t="str">
        <f t="shared" si="5"/>
        <v>enero</v>
      </c>
      <c r="U135">
        <v>90.08</v>
      </c>
      <c r="V135">
        <f xml:space="preserve"> Tb_prod[[#This Row],[Emisiones_CO2_ton]] / Tb_prod[[#This Row],[Cantidad_Empleados]]</f>
        <v>4.9730337078651692</v>
      </c>
      <c r="W135" t="str">
        <f>IF(Tb_prod[[#This Row],[Recuperación_Metal_Porcentaje]]&gt;90,"Alta",IF(Tb_prod[[#This Row],[Recuperación_Metal_Porcentaje]]&gt;75,"Media","Baja"))</f>
        <v>Alta</v>
      </c>
      <c r="X135" t="str">
        <f>IF(AND(Tb_prod[[#This Row],[Consumo_Energia_MWh]]&lt;=2000,Tb_prod[[#This Row],[Riesgo_Ambiental]]="Alto"),"Crítica","Normal")</f>
        <v>Normal</v>
      </c>
    </row>
    <row r="136" spans="1:24">
      <c r="A136">
        <v>138</v>
      </c>
      <c r="B136" t="str">
        <f>VLOOKUP(Tb_prod[[#This Row],[Región]],AUX_REGION[],2,0)</f>
        <v>Minera Staff</v>
      </c>
      <c r="C136" t="s">
        <v>25</v>
      </c>
      <c r="D136" t="s">
        <v>13</v>
      </c>
      <c r="E136" t="s">
        <v>14</v>
      </c>
      <c r="F136" t="s">
        <v>15</v>
      </c>
      <c r="G136" t="s">
        <v>22</v>
      </c>
      <c r="H136" s="23">
        <v>6293.39</v>
      </c>
      <c r="I136" s="23">
        <v>1954.51</v>
      </c>
      <c r="J136" s="23">
        <v>42415.27</v>
      </c>
      <c r="K136" s="23">
        <v>1231.31</v>
      </c>
      <c r="L136" s="10">
        <v>13432834493800</v>
      </c>
      <c r="M136" s="9">
        <v>122907300210</v>
      </c>
      <c r="N136" s="12">
        <f xml:space="preserve"> Tb_prod[[#This Row],[Costo_Mantenimiento_CLP]] / Tb_prod[[#This Row],[Dias_Operación_Mes]]</f>
        <v>671641724690</v>
      </c>
      <c r="O136" s="11">
        <f>Tb_prod[[#This Row],[Costo_Operativo_CLP]] / Tb_prod[[#This Row],[Producción_Toneladas]]</f>
        <v>19529585.836886</v>
      </c>
      <c r="P136">
        <v>81</v>
      </c>
      <c r="Q136">
        <v>20</v>
      </c>
      <c r="R136" s="6">
        <v>45610</v>
      </c>
      <c r="S136" t="str">
        <f t="shared" si="4"/>
        <v>jueves</v>
      </c>
      <c r="T136" t="str">
        <f t="shared" si="5"/>
        <v>noviembre</v>
      </c>
      <c r="U136">
        <v>72.91</v>
      </c>
      <c r="V136">
        <f xml:space="preserve"> Tb_prod[[#This Row],[Emisiones_CO2_ton]] / Tb_prod[[#This Row],[Cantidad_Empleados]]</f>
        <v>15.201358024691357</v>
      </c>
      <c r="W136" t="str">
        <f>IF(Tb_prod[[#This Row],[Recuperación_Metal_Porcentaje]]&gt;90,"Alta",IF(Tb_prod[[#This Row],[Recuperación_Metal_Porcentaje]]&gt;75,"Media","Baja"))</f>
        <v>Baja</v>
      </c>
      <c r="X136" t="str">
        <f>IF(AND(Tb_prod[[#This Row],[Consumo_Energia_MWh]]&lt;=2000,Tb_prod[[#This Row],[Riesgo_Ambiental]]="Alto"),"Crítica","Normal")</f>
        <v>Normal</v>
      </c>
    </row>
    <row r="137" spans="1:24">
      <c r="A137">
        <v>462</v>
      </c>
      <c r="B137" t="str">
        <f>VLOOKUP(Tb_prod[[#This Row],[Región]],AUX_REGION[],2,0)</f>
        <v>Minera Romero</v>
      </c>
      <c r="C137" t="s">
        <v>25</v>
      </c>
      <c r="D137" t="s">
        <v>23</v>
      </c>
      <c r="E137" t="s">
        <v>14</v>
      </c>
      <c r="F137" t="s">
        <v>24</v>
      </c>
      <c r="G137" t="s">
        <v>22</v>
      </c>
      <c r="H137" s="23">
        <v>3889.93</v>
      </c>
      <c r="I137" s="23">
        <v>1582.15</v>
      </c>
      <c r="J137" s="23">
        <v>42433.48</v>
      </c>
      <c r="K137" s="23">
        <v>981.41</v>
      </c>
      <c r="L137" s="10">
        <v>39348208800</v>
      </c>
      <c r="M137" s="9">
        <v>47958221520</v>
      </c>
      <c r="N137" s="12">
        <f xml:space="preserve"> Tb_prod[[#This Row],[Costo_Mantenimiento_CLP]] / Tb_prod[[#This Row],[Dias_Operación_Mes]]</f>
        <v>1639508700</v>
      </c>
      <c r="O137" s="11">
        <f>Tb_prod[[#This Row],[Costo_Operativo_CLP]] / Tb_prod[[#This Row],[Producción_Toneladas]]</f>
        <v>12328813.50564149</v>
      </c>
      <c r="P137">
        <v>54</v>
      </c>
      <c r="Q137">
        <v>24</v>
      </c>
      <c r="R137" s="6">
        <v>45802</v>
      </c>
      <c r="S137" t="str">
        <f t="shared" si="4"/>
        <v>domingo</v>
      </c>
      <c r="T137" t="str">
        <f t="shared" si="5"/>
        <v>mayo</v>
      </c>
      <c r="U137">
        <v>73.349999999999994</v>
      </c>
      <c r="V137">
        <f xml:space="preserve"> Tb_prod[[#This Row],[Emisiones_CO2_ton]] / Tb_prod[[#This Row],[Cantidad_Empleados]]</f>
        <v>18.174259259259259</v>
      </c>
      <c r="W137" t="str">
        <f>IF(Tb_prod[[#This Row],[Recuperación_Metal_Porcentaje]]&gt;90,"Alta",IF(Tb_prod[[#This Row],[Recuperación_Metal_Porcentaje]]&gt;75,"Media","Baja"))</f>
        <v>Baja</v>
      </c>
      <c r="X137" t="str">
        <f>IF(AND(Tb_prod[[#This Row],[Consumo_Energia_MWh]]&lt;=2000,Tb_prod[[#This Row],[Riesgo_Ambiental]]="Alto"),"Crítica","Normal")</f>
        <v>Normal</v>
      </c>
    </row>
    <row r="138" spans="1:24">
      <c r="A138">
        <v>45</v>
      </c>
      <c r="B138" t="str">
        <f>VLOOKUP(Tb_prod[[#This Row],[Región]],AUX_REGION[],2,0)</f>
        <v>Minera Staff</v>
      </c>
      <c r="C138" t="s">
        <v>25</v>
      </c>
      <c r="D138" t="s">
        <v>13</v>
      </c>
      <c r="E138" t="s">
        <v>14</v>
      </c>
      <c r="F138" t="s">
        <v>26</v>
      </c>
      <c r="G138" t="s">
        <v>20</v>
      </c>
      <c r="H138" s="23">
        <v>3088.9</v>
      </c>
      <c r="I138" s="23">
        <v>1739.53</v>
      </c>
      <c r="J138" s="23">
        <v>42465.279999999999</v>
      </c>
      <c r="K138" s="23">
        <v>893.56</v>
      </c>
      <c r="L138" s="10">
        <v>11454108660</v>
      </c>
      <c r="M138" s="9">
        <v>68087888010</v>
      </c>
      <c r="N138" s="12">
        <f xml:space="preserve"> Tb_prod[[#This Row],[Costo_Mantenimiento_CLP]] / Tb_prod[[#This Row],[Dias_Operación_Mes]]</f>
        <v>409075309.28571427</v>
      </c>
      <c r="O138" s="11">
        <f>Tb_prod[[#This Row],[Costo_Operativo_CLP]] / Tb_prod[[#This Row],[Producción_Toneladas]]</f>
        <v>22042762.151574995</v>
      </c>
      <c r="P138">
        <v>175</v>
      </c>
      <c r="Q138">
        <v>28</v>
      </c>
      <c r="R138" s="6">
        <v>45435</v>
      </c>
      <c r="S138" t="str">
        <f t="shared" si="4"/>
        <v>jueves</v>
      </c>
      <c r="T138" t="str">
        <f t="shared" si="5"/>
        <v>mayo</v>
      </c>
      <c r="U138">
        <v>93.59</v>
      </c>
      <c r="V138">
        <f xml:space="preserve"> Tb_prod[[#This Row],[Emisiones_CO2_ton]] / Tb_prod[[#This Row],[Cantidad_Empleados]]</f>
        <v>5.1060571428571428</v>
      </c>
      <c r="W138" t="str">
        <f>IF(Tb_prod[[#This Row],[Recuperación_Metal_Porcentaje]]&gt;90,"Alta",IF(Tb_prod[[#This Row],[Recuperación_Metal_Porcentaje]]&gt;75,"Media","Baja"))</f>
        <v>Alta</v>
      </c>
      <c r="X138" t="str">
        <f>IF(AND(Tb_prod[[#This Row],[Consumo_Energia_MWh]]&lt;=2000,Tb_prod[[#This Row],[Riesgo_Ambiental]]="Alto"),"Crítica","Normal")</f>
        <v>Crítica</v>
      </c>
    </row>
    <row r="139" spans="1:24">
      <c r="A139">
        <v>298</v>
      </c>
      <c r="B139" t="str">
        <f>VLOOKUP(Tb_prod[[#This Row],[Región]],AUX_REGION[],2,0)</f>
        <v>Minera Romero</v>
      </c>
      <c r="C139" t="s">
        <v>21</v>
      </c>
      <c r="D139" t="s">
        <v>23</v>
      </c>
      <c r="E139" t="s">
        <v>19</v>
      </c>
      <c r="F139" t="s">
        <v>24</v>
      </c>
      <c r="G139" t="s">
        <v>16</v>
      </c>
      <c r="H139" s="23">
        <v>7706.75</v>
      </c>
      <c r="I139" s="23">
        <v>1427.84</v>
      </c>
      <c r="J139" s="23">
        <v>42590.52</v>
      </c>
      <c r="K139" s="23">
        <v>1332.64</v>
      </c>
      <c r="L139" s="10">
        <v>35289299070</v>
      </c>
      <c r="M139" s="9">
        <v>123573101580</v>
      </c>
      <c r="N139" s="12">
        <f xml:space="preserve"> Tb_prod[[#This Row],[Costo_Mantenimiento_CLP]] / Tb_prod[[#This Row],[Dias_Operación_Mes]]</f>
        <v>1357280733.4615386</v>
      </c>
      <c r="O139" s="11">
        <f>Tb_prod[[#This Row],[Costo_Operativo_CLP]] / Tb_prod[[#This Row],[Producción_Toneladas]]</f>
        <v>16034398.62198722</v>
      </c>
      <c r="P139">
        <v>130</v>
      </c>
      <c r="Q139">
        <v>26</v>
      </c>
      <c r="R139" s="6">
        <v>45764</v>
      </c>
      <c r="S139" t="str">
        <f t="shared" si="4"/>
        <v>jueves</v>
      </c>
      <c r="T139" t="str">
        <f t="shared" si="5"/>
        <v>abril</v>
      </c>
      <c r="U139">
        <v>76.89</v>
      </c>
      <c r="V139">
        <f xml:space="preserve"> Tb_prod[[#This Row],[Emisiones_CO2_ton]] / Tb_prod[[#This Row],[Cantidad_Empleados]]</f>
        <v>10.251076923076925</v>
      </c>
      <c r="W139" t="str">
        <f>IF(Tb_prod[[#This Row],[Recuperación_Metal_Porcentaje]]&gt;90,"Alta",IF(Tb_prod[[#This Row],[Recuperación_Metal_Porcentaje]]&gt;75,"Media","Baja"))</f>
        <v>Media</v>
      </c>
      <c r="X139" t="str">
        <f>IF(AND(Tb_prod[[#This Row],[Consumo_Energia_MWh]]&lt;=2000,Tb_prod[[#This Row],[Riesgo_Ambiental]]="Alto"),"Crítica","Normal")</f>
        <v>Normal</v>
      </c>
    </row>
    <row r="140" spans="1:24">
      <c r="A140">
        <v>196</v>
      </c>
      <c r="B140" t="str">
        <f>VLOOKUP(Tb_prod[[#This Row],[Región]],AUX_REGION[],2,0)</f>
        <v>Minera del Norte</v>
      </c>
      <c r="C140" t="s">
        <v>21</v>
      </c>
      <c r="D140" t="s">
        <v>18</v>
      </c>
      <c r="E140" t="s">
        <v>19</v>
      </c>
      <c r="F140" t="s">
        <v>24</v>
      </c>
      <c r="G140" t="s">
        <v>20</v>
      </c>
      <c r="H140" s="23">
        <v>7251.56</v>
      </c>
      <c r="I140" s="23">
        <v>2321.85</v>
      </c>
      <c r="J140" s="23">
        <v>42690.38</v>
      </c>
      <c r="K140" s="23">
        <v>1322.28</v>
      </c>
      <c r="L140" s="10">
        <v>15304000410</v>
      </c>
      <c r="M140" s="9">
        <v>56065962600</v>
      </c>
      <c r="N140" s="12">
        <f xml:space="preserve"> Tb_prod[[#This Row],[Costo_Mantenimiento_CLP]] / Tb_prod[[#This Row],[Dias_Operación_Mes]]</f>
        <v>510133347</v>
      </c>
      <c r="O140" s="11">
        <f>Tb_prod[[#This Row],[Costo_Operativo_CLP]] / Tb_prod[[#This Row],[Producción_Toneladas]]</f>
        <v>7731572.5995509932</v>
      </c>
      <c r="P140">
        <v>271</v>
      </c>
      <c r="Q140">
        <v>30</v>
      </c>
      <c r="R140" s="6">
        <v>45989</v>
      </c>
      <c r="S140" t="str">
        <f t="shared" si="4"/>
        <v>viernes</v>
      </c>
      <c r="T140" t="str">
        <f t="shared" si="5"/>
        <v>noviembre</v>
      </c>
      <c r="U140">
        <v>71.44</v>
      </c>
      <c r="V140">
        <f xml:space="preserve"> Tb_prod[[#This Row],[Emisiones_CO2_ton]] / Tb_prod[[#This Row],[Cantidad_Empleados]]</f>
        <v>4.8792619926199263</v>
      </c>
      <c r="W140" t="str">
        <f>IF(Tb_prod[[#This Row],[Recuperación_Metal_Porcentaje]]&gt;90,"Alta",IF(Tb_prod[[#This Row],[Recuperación_Metal_Porcentaje]]&gt;75,"Media","Baja"))</f>
        <v>Baja</v>
      </c>
      <c r="X140" t="str">
        <f>IF(AND(Tb_prod[[#This Row],[Consumo_Energia_MWh]]&lt;=2000,Tb_prod[[#This Row],[Riesgo_Ambiental]]="Alto"),"Crítica","Normal")</f>
        <v>Normal</v>
      </c>
    </row>
    <row r="141" spans="1:24">
      <c r="A141">
        <v>172</v>
      </c>
      <c r="B141" t="str">
        <f>VLOOKUP(Tb_prod[[#This Row],[Región]],AUX_REGION[],2,0)</f>
        <v>Minera del Norte</v>
      </c>
      <c r="C141" t="s">
        <v>27</v>
      </c>
      <c r="D141" t="s">
        <v>18</v>
      </c>
      <c r="E141" t="s">
        <v>14</v>
      </c>
      <c r="F141" t="s">
        <v>15</v>
      </c>
      <c r="G141" t="s">
        <v>22</v>
      </c>
      <c r="H141" s="23">
        <v>4257.9399999999996</v>
      </c>
      <c r="I141" s="23">
        <v>722.29</v>
      </c>
      <c r="J141" s="23">
        <v>42786.22</v>
      </c>
      <c r="K141" s="23">
        <v>542.67999999999995</v>
      </c>
      <c r="L141" s="10">
        <v>29885940540</v>
      </c>
      <c r="M141" s="9">
        <v>38499657390</v>
      </c>
      <c r="N141" s="12">
        <f xml:space="preserve"> Tb_prod[[#This Row],[Costo_Mantenimiento_CLP]] / Tb_prod[[#This Row],[Dias_Operación_Mes]]</f>
        <v>1149459251.5384614</v>
      </c>
      <c r="O141" s="11">
        <f>Tb_prod[[#This Row],[Costo_Operativo_CLP]] / Tb_prod[[#This Row],[Producción_Toneladas]]</f>
        <v>9041850.6108587738</v>
      </c>
      <c r="P141">
        <v>290</v>
      </c>
      <c r="Q141">
        <v>26</v>
      </c>
      <c r="R141" s="6">
        <v>45755</v>
      </c>
      <c r="S141" t="str">
        <f t="shared" si="4"/>
        <v>martes</v>
      </c>
      <c r="T141" t="str">
        <f t="shared" si="5"/>
        <v>abril</v>
      </c>
      <c r="U141">
        <v>71.08</v>
      </c>
      <c r="V141">
        <f xml:space="preserve"> Tb_prod[[#This Row],[Emisiones_CO2_ton]] / Tb_prod[[#This Row],[Cantidad_Empleados]]</f>
        <v>1.8713103448275861</v>
      </c>
      <c r="W141" t="str">
        <f>IF(Tb_prod[[#This Row],[Recuperación_Metal_Porcentaje]]&gt;90,"Alta",IF(Tb_prod[[#This Row],[Recuperación_Metal_Porcentaje]]&gt;75,"Media","Baja"))</f>
        <v>Baja</v>
      </c>
      <c r="X141" t="str">
        <f>IF(AND(Tb_prod[[#This Row],[Consumo_Energia_MWh]]&lt;=2000,Tb_prod[[#This Row],[Riesgo_Ambiental]]="Alto"),"Crítica","Normal")</f>
        <v>Normal</v>
      </c>
    </row>
    <row r="142" spans="1:24">
      <c r="A142">
        <v>177</v>
      </c>
      <c r="B142" t="str">
        <f>VLOOKUP(Tb_prod[[#This Row],[Región]],AUX_REGION[],2,0)</f>
        <v>Minera del Norte</v>
      </c>
      <c r="C142" t="s">
        <v>21</v>
      </c>
      <c r="D142" t="s">
        <v>18</v>
      </c>
      <c r="E142" t="s">
        <v>19</v>
      </c>
      <c r="F142" t="s">
        <v>24</v>
      </c>
      <c r="G142" t="s">
        <v>16</v>
      </c>
      <c r="H142" s="23">
        <v>4484.47</v>
      </c>
      <c r="I142" s="23">
        <v>1972.47</v>
      </c>
      <c r="J142" s="23">
        <v>42801.51</v>
      </c>
      <c r="K142" s="23">
        <v>708.07</v>
      </c>
      <c r="L142" s="10">
        <v>35420777370</v>
      </c>
      <c r="M142" s="9">
        <v>11823870870</v>
      </c>
      <c r="N142" s="12">
        <f xml:space="preserve"> Tb_prod[[#This Row],[Costo_Mantenimiento_CLP]] / Tb_prod[[#This Row],[Dias_Operación_Mes]]</f>
        <v>1416831094.8</v>
      </c>
      <c r="O142" s="11">
        <f>Tb_prod[[#This Row],[Costo_Operativo_CLP]] / Tb_prod[[#This Row],[Producción_Toneladas]]</f>
        <v>2636626.1498014256</v>
      </c>
      <c r="P142">
        <v>298</v>
      </c>
      <c r="Q142">
        <v>25</v>
      </c>
      <c r="R142" s="6">
        <v>45264</v>
      </c>
      <c r="S142" t="str">
        <f t="shared" si="4"/>
        <v>lunes</v>
      </c>
      <c r="T142" t="str">
        <f t="shared" si="5"/>
        <v>diciembre</v>
      </c>
      <c r="U142">
        <v>76.25</v>
      </c>
      <c r="V142">
        <f xml:space="preserve"> Tb_prod[[#This Row],[Emisiones_CO2_ton]] / Tb_prod[[#This Row],[Cantidad_Empleados]]</f>
        <v>2.3760738255033558</v>
      </c>
      <c r="W142" t="str">
        <f>IF(Tb_prod[[#This Row],[Recuperación_Metal_Porcentaje]]&gt;90,"Alta",IF(Tb_prod[[#This Row],[Recuperación_Metal_Porcentaje]]&gt;75,"Media","Baja"))</f>
        <v>Media</v>
      </c>
      <c r="X142" t="str">
        <f>IF(AND(Tb_prod[[#This Row],[Consumo_Energia_MWh]]&lt;=2000,Tb_prod[[#This Row],[Riesgo_Ambiental]]="Alto"),"Crítica","Normal")</f>
        <v>Normal</v>
      </c>
    </row>
    <row r="143" spans="1:24">
      <c r="A143">
        <v>314</v>
      </c>
      <c r="B143" t="str">
        <f>VLOOKUP(Tb_prod[[#This Row],[Región]],AUX_REGION[],2,0)</f>
        <v>Minera del Norte</v>
      </c>
      <c r="C143" t="s">
        <v>27</v>
      </c>
      <c r="D143" t="s">
        <v>18</v>
      </c>
      <c r="E143" t="s">
        <v>14</v>
      </c>
      <c r="F143" t="s">
        <v>15</v>
      </c>
      <c r="G143" t="s">
        <v>20</v>
      </c>
      <c r="H143" s="23">
        <v>2071.7199999999998</v>
      </c>
      <c r="I143" s="23">
        <v>3013.94</v>
      </c>
      <c r="J143" s="23">
        <v>43012.31</v>
      </c>
      <c r="K143" s="23">
        <v>917.53</v>
      </c>
      <c r="L143" s="10">
        <v>19730664990</v>
      </c>
      <c r="M143" s="9">
        <v>58437247500</v>
      </c>
      <c r="N143" s="12">
        <f xml:space="preserve"> Tb_prod[[#This Row],[Costo_Mantenimiento_CLP]] / Tb_prod[[#This Row],[Dias_Operación_Mes]]</f>
        <v>704666606.78571427</v>
      </c>
      <c r="O143" s="11">
        <f>Tb_prod[[#This Row],[Costo_Operativo_CLP]] / Tb_prod[[#This Row],[Producción_Toneladas]]</f>
        <v>28207116.550499104</v>
      </c>
      <c r="P143">
        <v>106</v>
      </c>
      <c r="Q143">
        <v>28</v>
      </c>
      <c r="R143" s="6">
        <v>45345</v>
      </c>
      <c r="S143" t="str">
        <f t="shared" si="4"/>
        <v>viernes</v>
      </c>
      <c r="T143" t="str">
        <f t="shared" si="5"/>
        <v>febrero</v>
      </c>
      <c r="U143">
        <v>85.06</v>
      </c>
      <c r="V143">
        <f xml:space="preserve"> Tb_prod[[#This Row],[Emisiones_CO2_ton]] / Tb_prod[[#This Row],[Cantidad_Empleados]]</f>
        <v>8.6559433962264141</v>
      </c>
      <c r="W143" t="str">
        <f>IF(Tb_prod[[#This Row],[Recuperación_Metal_Porcentaje]]&gt;90,"Alta",IF(Tb_prod[[#This Row],[Recuperación_Metal_Porcentaje]]&gt;75,"Media","Baja"))</f>
        <v>Media</v>
      </c>
      <c r="X143" t="str">
        <f>IF(AND(Tb_prod[[#This Row],[Consumo_Energia_MWh]]&lt;=2000,Tb_prod[[#This Row],[Riesgo_Ambiental]]="Alto"),"Crítica","Normal")</f>
        <v>Normal</v>
      </c>
    </row>
    <row r="144" spans="1:24">
      <c r="A144">
        <v>209</v>
      </c>
      <c r="B144" t="str">
        <f>VLOOKUP(Tb_prod[[#This Row],[Región]],AUX_REGION[],2,0)</f>
        <v>Minera del Norte</v>
      </c>
      <c r="C144" t="s">
        <v>12</v>
      </c>
      <c r="D144" t="s">
        <v>18</v>
      </c>
      <c r="E144" t="s">
        <v>14</v>
      </c>
      <c r="F144" t="s">
        <v>15</v>
      </c>
      <c r="G144" t="s">
        <v>16</v>
      </c>
      <c r="H144" s="23">
        <v>6352.74</v>
      </c>
      <c r="I144" s="23">
        <v>2357.9899999999998</v>
      </c>
      <c r="J144" s="23">
        <v>43100.6</v>
      </c>
      <c r="K144" s="23">
        <v>612.54999999999995</v>
      </c>
      <c r="L144" s="10">
        <v>40846400190</v>
      </c>
      <c r="M144" s="9">
        <v>134494110990</v>
      </c>
      <c r="N144" s="12">
        <f xml:space="preserve"> Tb_prod[[#This Row],[Costo_Mantenimiento_CLP]] / Tb_prod[[#This Row],[Dias_Operación_Mes]]</f>
        <v>1633856007.5999999</v>
      </c>
      <c r="O144" s="11">
        <f>Tb_prod[[#This Row],[Costo_Operativo_CLP]] / Tb_prod[[#This Row],[Producción_Toneladas]]</f>
        <v>21171039.738758396</v>
      </c>
      <c r="P144">
        <v>121</v>
      </c>
      <c r="Q144">
        <v>25</v>
      </c>
      <c r="R144" s="6">
        <v>45264</v>
      </c>
      <c r="S144" t="str">
        <f t="shared" si="4"/>
        <v>lunes</v>
      </c>
      <c r="T144" t="str">
        <f t="shared" si="5"/>
        <v>diciembre</v>
      </c>
      <c r="U144">
        <v>85.56</v>
      </c>
      <c r="V144">
        <f xml:space="preserve"> Tb_prod[[#This Row],[Emisiones_CO2_ton]] / Tb_prod[[#This Row],[Cantidad_Empleados]]</f>
        <v>5.0623966942148755</v>
      </c>
      <c r="W144" t="str">
        <f>IF(Tb_prod[[#This Row],[Recuperación_Metal_Porcentaje]]&gt;90,"Alta",IF(Tb_prod[[#This Row],[Recuperación_Metal_Porcentaje]]&gt;75,"Media","Baja"))</f>
        <v>Media</v>
      </c>
      <c r="X144" t="str">
        <f>IF(AND(Tb_prod[[#This Row],[Consumo_Energia_MWh]]&lt;=2000,Tb_prod[[#This Row],[Riesgo_Ambiental]]="Alto"),"Crítica","Normal")</f>
        <v>Normal</v>
      </c>
    </row>
    <row r="145" spans="1:24">
      <c r="A145">
        <v>149</v>
      </c>
      <c r="B145" t="str">
        <f>VLOOKUP(Tb_prod[[#This Row],[Región]],AUX_REGION[],2,0)</f>
        <v>Minera del Norte</v>
      </c>
      <c r="C145" t="s">
        <v>25</v>
      </c>
      <c r="D145" t="s">
        <v>18</v>
      </c>
      <c r="E145" t="s">
        <v>19</v>
      </c>
      <c r="F145" t="s">
        <v>26</v>
      </c>
      <c r="G145" t="s">
        <v>22</v>
      </c>
      <c r="H145" s="23">
        <v>5835.77</v>
      </c>
      <c r="I145" s="23">
        <v>1521.22</v>
      </c>
      <c r="J145" s="23">
        <v>43301.5</v>
      </c>
      <c r="K145" s="23">
        <v>611.19000000000005</v>
      </c>
      <c r="L145" s="10">
        <v>17656645050</v>
      </c>
      <c r="M145" s="9">
        <v>44437911390</v>
      </c>
      <c r="N145" s="12">
        <f xml:space="preserve"> Tb_prod[[#This Row],[Costo_Mantenimiento_CLP]] / Tb_prod[[#This Row],[Dias_Operación_Mes]]</f>
        <v>840792621.42857146</v>
      </c>
      <c r="O145" s="11">
        <f>Tb_prod[[#This Row],[Costo_Operativo_CLP]] / Tb_prod[[#This Row],[Producción_Toneladas]]</f>
        <v>7614746.8783039767</v>
      </c>
      <c r="P145">
        <v>240</v>
      </c>
      <c r="Q145">
        <v>21</v>
      </c>
      <c r="R145" s="6">
        <v>45425</v>
      </c>
      <c r="S145" t="str">
        <f t="shared" si="4"/>
        <v>lunes</v>
      </c>
      <c r="T145" t="str">
        <f t="shared" si="5"/>
        <v>mayo</v>
      </c>
      <c r="U145">
        <v>76</v>
      </c>
      <c r="V145">
        <f xml:space="preserve"> Tb_prod[[#This Row],[Emisiones_CO2_ton]] / Tb_prod[[#This Row],[Cantidad_Empleados]]</f>
        <v>2.5466250000000001</v>
      </c>
      <c r="W145" t="str">
        <f>IF(Tb_prod[[#This Row],[Recuperación_Metal_Porcentaje]]&gt;90,"Alta",IF(Tb_prod[[#This Row],[Recuperación_Metal_Porcentaje]]&gt;75,"Media","Baja"))</f>
        <v>Media</v>
      </c>
      <c r="X145" t="str">
        <f>IF(AND(Tb_prod[[#This Row],[Consumo_Energia_MWh]]&lt;=2000,Tb_prod[[#This Row],[Riesgo_Ambiental]]="Alto"),"Crítica","Normal")</f>
        <v>Normal</v>
      </c>
    </row>
    <row r="146" spans="1:24">
      <c r="A146">
        <v>40</v>
      </c>
      <c r="B146" t="str">
        <f>VLOOKUP(Tb_prod[[#This Row],[Región]],AUX_REGION[],2,0)</f>
        <v>Minera Romero</v>
      </c>
      <c r="C146" t="s">
        <v>25</v>
      </c>
      <c r="D146" t="s">
        <v>23</v>
      </c>
      <c r="E146" t="s">
        <v>14</v>
      </c>
      <c r="F146" t="s">
        <v>24</v>
      </c>
      <c r="G146" t="s">
        <v>22</v>
      </c>
      <c r="H146" s="23">
        <v>6187.47</v>
      </c>
      <c r="I146" s="23">
        <v>3201.17</v>
      </c>
      <c r="J146" s="23">
        <v>43311.74</v>
      </c>
      <c r="K146" s="23">
        <v>1093.54</v>
      </c>
      <c r="L146" s="10">
        <v>31855656060</v>
      </c>
      <c r="M146" s="9">
        <v>63479351610</v>
      </c>
      <c r="N146" s="12">
        <f xml:space="preserve"> Tb_prod[[#This Row],[Costo_Mantenimiento_CLP]] / Tb_prod[[#This Row],[Dias_Operación_Mes]]</f>
        <v>1327319002.5</v>
      </c>
      <c r="O146" s="11">
        <f>Tb_prod[[#This Row],[Costo_Operativo_CLP]] / Tb_prod[[#This Row],[Producción_Toneladas]]</f>
        <v>10259338.891340079</v>
      </c>
      <c r="P146">
        <v>64</v>
      </c>
      <c r="Q146">
        <v>24</v>
      </c>
      <c r="R146" s="6">
        <v>45703</v>
      </c>
      <c r="S146" t="str">
        <f t="shared" si="4"/>
        <v>sábado</v>
      </c>
      <c r="T146" t="str">
        <f t="shared" si="5"/>
        <v>febrero</v>
      </c>
      <c r="U146">
        <v>88.41</v>
      </c>
      <c r="V146">
        <f xml:space="preserve"> Tb_prod[[#This Row],[Emisiones_CO2_ton]] / Tb_prod[[#This Row],[Cantidad_Empleados]]</f>
        <v>17.086562499999999</v>
      </c>
      <c r="W146" t="str">
        <f>IF(Tb_prod[[#This Row],[Recuperación_Metal_Porcentaje]]&gt;90,"Alta",IF(Tb_prod[[#This Row],[Recuperación_Metal_Porcentaje]]&gt;75,"Media","Baja"))</f>
        <v>Media</v>
      </c>
      <c r="X146" t="str">
        <f>IF(AND(Tb_prod[[#This Row],[Consumo_Energia_MWh]]&lt;=2000,Tb_prod[[#This Row],[Riesgo_Ambiental]]="Alto"),"Crítica","Normal")</f>
        <v>Normal</v>
      </c>
    </row>
    <row r="147" spans="1:24">
      <c r="A147">
        <v>255</v>
      </c>
      <c r="B147" t="str">
        <f>VLOOKUP(Tb_prod[[#This Row],[Región]],AUX_REGION[],2,0)</f>
        <v>Minera Staff</v>
      </c>
      <c r="C147" t="s">
        <v>27</v>
      </c>
      <c r="D147" t="s">
        <v>13</v>
      </c>
      <c r="E147" t="s">
        <v>19</v>
      </c>
      <c r="F147" t="s">
        <v>24</v>
      </c>
      <c r="G147" t="s">
        <v>20</v>
      </c>
      <c r="H147" s="23">
        <v>5758.99</v>
      </c>
      <c r="I147" s="23">
        <v>2640.56</v>
      </c>
      <c r="J147" s="23">
        <v>43316.85</v>
      </c>
      <c r="K147" s="23">
        <v>1185.8699999999999</v>
      </c>
      <c r="L147" s="10">
        <v>12439913040</v>
      </c>
      <c r="M147" s="9">
        <v>67336689690</v>
      </c>
      <c r="N147" s="12">
        <f xml:space="preserve"> Tb_prod[[#This Row],[Costo_Mantenimiento_CLP]] / Tb_prod[[#This Row],[Dias_Operación_Mes]]</f>
        <v>621995652</v>
      </c>
      <c r="O147" s="11">
        <f>Tb_prod[[#This Row],[Costo_Operativo_CLP]] / Tb_prod[[#This Row],[Producción_Toneladas]]</f>
        <v>11692447.753859619</v>
      </c>
      <c r="P147">
        <v>201</v>
      </c>
      <c r="Q147">
        <v>20</v>
      </c>
      <c r="R147" s="6">
        <v>45117</v>
      </c>
      <c r="S147" t="str">
        <f t="shared" si="4"/>
        <v>lunes</v>
      </c>
      <c r="T147" t="str">
        <f t="shared" si="5"/>
        <v>julio</v>
      </c>
      <c r="U147">
        <v>86.86</v>
      </c>
      <c r="V147">
        <f xml:space="preserve"> Tb_prod[[#This Row],[Emisiones_CO2_ton]] / Tb_prod[[#This Row],[Cantidad_Empleados]]</f>
        <v>5.8998507462686565</v>
      </c>
      <c r="W147" t="str">
        <f>IF(Tb_prod[[#This Row],[Recuperación_Metal_Porcentaje]]&gt;90,"Alta",IF(Tb_prod[[#This Row],[Recuperación_Metal_Porcentaje]]&gt;75,"Media","Baja"))</f>
        <v>Media</v>
      </c>
      <c r="X147" t="str">
        <f>IF(AND(Tb_prod[[#This Row],[Consumo_Energia_MWh]]&lt;=2000,Tb_prod[[#This Row],[Riesgo_Ambiental]]="Alto"),"Crítica","Normal")</f>
        <v>Normal</v>
      </c>
    </row>
    <row r="148" spans="1:24">
      <c r="A148">
        <v>300</v>
      </c>
      <c r="B148" t="str">
        <f>VLOOKUP(Tb_prod[[#This Row],[Región]],AUX_REGION[],2,0)</f>
        <v>Minera del Norte</v>
      </c>
      <c r="C148" t="s">
        <v>27</v>
      </c>
      <c r="D148" t="s">
        <v>18</v>
      </c>
      <c r="E148" t="s">
        <v>19</v>
      </c>
      <c r="F148" t="s">
        <v>26</v>
      </c>
      <c r="G148" t="s">
        <v>22</v>
      </c>
      <c r="H148" s="23">
        <v>5413.29</v>
      </c>
      <c r="I148" s="23">
        <v>838.09</v>
      </c>
      <c r="J148" s="23">
        <v>43412.97</v>
      </c>
      <c r="K148" s="23">
        <v>1400.31</v>
      </c>
      <c r="L148" s="10">
        <v>36020432160</v>
      </c>
      <c r="M148" s="9">
        <v>34358061870</v>
      </c>
      <c r="N148" s="12">
        <f xml:space="preserve"> Tb_prod[[#This Row],[Costo_Mantenimiento_CLP]] / Tb_prod[[#This Row],[Dias_Operación_Mes]]</f>
        <v>1385401236.9230769</v>
      </c>
      <c r="O148" s="11">
        <f>Tb_prod[[#This Row],[Costo_Operativo_CLP]] / Tb_prod[[#This Row],[Producción_Toneladas]]</f>
        <v>6346983.4185864786</v>
      </c>
      <c r="P148">
        <v>260</v>
      </c>
      <c r="Q148">
        <v>26</v>
      </c>
      <c r="R148" s="6">
        <v>45929</v>
      </c>
      <c r="S148" t="str">
        <f t="shared" si="4"/>
        <v>lunes</v>
      </c>
      <c r="T148" t="str">
        <f t="shared" si="5"/>
        <v>septiembre</v>
      </c>
      <c r="U148">
        <v>78.3</v>
      </c>
      <c r="V148">
        <f xml:space="preserve"> Tb_prod[[#This Row],[Emisiones_CO2_ton]] / Tb_prod[[#This Row],[Cantidad_Empleados]]</f>
        <v>5.3858076923076919</v>
      </c>
      <c r="W148" t="str">
        <f>IF(Tb_prod[[#This Row],[Recuperación_Metal_Porcentaje]]&gt;90,"Alta",IF(Tb_prod[[#This Row],[Recuperación_Metal_Porcentaje]]&gt;75,"Media","Baja"))</f>
        <v>Media</v>
      </c>
      <c r="X148" t="str">
        <f>IF(AND(Tb_prod[[#This Row],[Consumo_Energia_MWh]]&lt;=2000,Tb_prod[[#This Row],[Riesgo_Ambiental]]="Alto"),"Crítica","Normal")</f>
        <v>Normal</v>
      </c>
    </row>
    <row r="149" spans="1:24">
      <c r="A149">
        <v>101</v>
      </c>
      <c r="B149" t="str">
        <f>VLOOKUP(Tb_prod[[#This Row],[Región]],AUX_REGION[],2,0)</f>
        <v>Minera del Norte</v>
      </c>
      <c r="C149" t="s">
        <v>12</v>
      </c>
      <c r="D149" t="s">
        <v>18</v>
      </c>
      <c r="E149" t="s">
        <v>19</v>
      </c>
      <c r="F149" t="s">
        <v>24</v>
      </c>
      <c r="G149" t="s">
        <v>20</v>
      </c>
      <c r="H149" s="23">
        <v>2253.7800000000002</v>
      </c>
      <c r="I149" s="23">
        <v>2232.1799999999998</v>
      </c>
      <c r="J149" s="23">
        <v>43428.44</v>
      </c>
      <c r="K149" s="23">
        <v>926.25</v>
      </c>
      <c r="L149" s="10">
        <v>30109068630</v>
      </c>
      <c r="M149" s="9">
        <v>43402564260</v>
      </c>
      <c r="N149" s="12">
        <f xml:space="preserve"> Tb_prod[[#This Row],[Costo_Mantenimiento_CLP]] / Tb_prod[[#This Row],[Dias_Operación_Mes]]</f>
        <v>1254544526.25</v>
      </c>
      <c r="O149" s="11">
        <f>Tb_prod[[#This Row],[Costo_Operativo_CLP]] / Tb_prod[[#This Row],[Producción_Toneladas]]</f>
        <v>19257675.664882995</v>
      </c>
      <c r="P149">
        <v>148</v>
      </c>
      <c r="Q149">
        <v>24</v>
      </c>
      <c r="R149" s="6">
        <v>45539</v>
      </c>
      <c r="S149" t="str">
        <f t="shared" si="4"/>
        <v>miércoles</v>
      </c>
      <c r="T149" t="str">
        <f t="shared" si="5"/>
        <v>septiembre</v>
      </c>
      <c r="U149">
        <v>87.94</v>
      </c>
      <c r="V149">
        <f xml:space="preserve"> Tb_prod[[#This Row],[Emisiones_CO2_ton]] / Tb_prod[[#This Row],[Cantidad_Empleados]]</f>
        <v>6.2584459459459456</v>
      </c>
      <c r="W149" t="str">
        <f>IF(Tb_prod[[#This Row],[Recuperación_Metal_Porcentaje]]&gt;90,"Alta",IF(Tb_prod[[#This Row],[Recuperación_Metal_Porcentaje]]&gt;75,"Media","Baja"))</f>
        <v>Media</v>
      </c>
      <c r="X149" t="str">
        <f>IF(AND(Tb_prod[[#This Row],[Consumo_Energia_MWh]]&lt;=2000,Tb_prod[[#This Row],[Riesgo_Ambiental]]="Alto"),"Crítica","Normal")</f>
        <v>Normal</v>
      </c>
    </row>
    <row r="150" spans="1:24">
      <c r="A150">
        <v>293</v>
      </c>
      <c r="B150" t="str">
        <f>VLOOKUP(Tb_prod[[#This Row],[Región]],AUX_REGION[],2,0)</f>
        <v>Minera Romero</v>
      </c>
      <c r="C150" t="s">
        <v>27</v>
      </c>
      <c r="D150" t="s">
        <v>23</v>
      </c>
      <c r="E150" t="s">
        <v>14</v>
      </c>
      <c r="F150" t="s">
        <v>26</v>
      </c>
      <c r="G150" t="s">
        <v>20</v>
      </c>
      <c r="H150" s="23">
        <v>4839.01</v>
      </c>
      <c r="I150" s="23">
        <v>1835.46</v>
      </c>
      <c r="J150" s="23">
        <v>43620.15</v>
      </c>
      <c r="K150" s="23">
        <v>1106.3900000000001</v>
      </c>
      <c r="L150" s="10">
        <v>23762998530</v>
      </c>
      <c r="M150" s="9">
        <v>56164440690</v>
      </c>
      <c r="N150" s="12">
        <f xml:space="preserve"> Tb_prod[[#This Row],[Costo_Mantenimiento_CLP]] / Tb_prod[[#This Row],[Dias_Operación_Mes]]</f>
        <v>990124938.75</v>
      </c>
      <c r="O150" s="11">
        <f>Tb_prod[[#This Row],[Costo_Operativo_CLP]] / Tb_prod[[#This Row],[Producción_Toneladas]]</f>
        <v>11606597.359790536</v>
      </c>
      <c r="P150">
        <v>262</v>
      </c>
      <c r="Q150">
        <v>24</v>
      </c>
      <c r="R150" s="6">
        <v>45076</v>
      </c>
      <c r="S150" t="str">
        <f t="shared" si="4"/>
        <v>martes</v>
      </c>
      <c r="T150" t="str">
        <f t="shared" si="5"/>
        <v>mayo</v>
      </c>
      <c r="U150">
        <v>84.43</v>
      </c>
      <c r="V150">
        <f xml:space="preserve"> Tb_prod[[#This Row],[Emisiones_CO2_ton]] / Tb_prod[[#This Row],[Cantidad_Empleados]]</f>
        <v>4.2228625954198478</v>
      </c>
      <c r="W150" t="str">
        <f>IF(Tb_prod[[#This Row],[Recuperación_Metal_Porcentaje]]&gt;90,"Alta",IF(Tb_prod[[#This Row],[Recuperación_Metal_Porcentaje]]&gt;75,"Media","Baja"))</f>
        <v>Media</v>
      </c>
      <c r="X150" t="str">
        <f>IF(AND(Tb_prod[[#This Row],[Consumo_Energia_MWh]]&lt;=2000,Tb_prod[[#This Row],[Riesgo_Ambiental]]="Alto"),"Crítica","Normal")</f>
        <v>Crítica</v>
      </c>
    </row>
    <row r="151" spans="1:24">
      <c r="A151">
        <v>58</v>
      </c>
      <c r="B151" t="str">
        <f>VLOOKUP(Tb_prod[[#This Row],[Región]],AUX_REGION[],2,0)</f>
        <v>Minera Staff</v>
      </c>
      <c r="C151" t="s">
        <v>25</v>
      </c>
      <c r="D151" t="s">
        <v>13</v>
      </c>
      <c r="E151" t="s">
        <v>19</v>
      </c>
      <c r="F151" t="s">
        <v>24</v>
      </c>
      <c r="G151" t="s">
        <v>16</v>
      </c>
      <c r="H151" s="23">
        <v>7570.36</v>
      </c>
      <c r="I151" s="23">
        <v>2598.69</v>
      </c>
      <c r="J151" s="23">
        <v>43713.2</v>
      </c>
      <c r="K151" s="23">
        <v>1147.95</v>
      </c>
      <c r="L151" s="10">
        <v>40117448520</v>
      </c>
      <c r="M151" s="9">
        <v>44381891250</v>
      </c>
      <c r="N151" s="12">
        <f xml:space="preserve"> Tb_prod[[#This Row],[Costo_Mantenimiento_CLP]] / Tb_prod[[#This Row],[Dias_Operación_Mes]]</f>
        <v>1432766018.5714285</v>
      </c>
      <c r="O151" s="11">
        <f>Tb_prod[[#This Row],[Costo_Operativo_CLP]] / Tb_prod[[#This Row],[Producción_Toneladas]]</f>
        <v>5862586.6207155278</v>
      </c>
      <c r="P151">
        <v>142</v>
      </c>
      <c r="Q151">
        <v>28</v>
      </c>
      <c r="R151" s="6">
        <v>45196</v>
      </c>
      <c r="S151" t="str">
        <f t="shared" si="4"/>
        <v>miércoles</v>
      </c>
      <c r="T151" t="str">
        <f t="shared" si="5"/>
        <v>septiembre</v>
      </c>
      <c r="U151">
        <v>95.58</v>
      </c>
      <c r="V151">
        <f xml:space="preserve"> Tb_prod[[#This Row],[Emisiones_CO2_ton]] / Tb_prod[[#This Row],[Cantidad_Empleados]]</f>
        <v>8.0841549295774655</v>
      </c>
      <c r="W151" t="str">
        <f>IF(Tb_prod[[#This Row],[Recuperación_Metal_Porcentaje]]&gt;90,"Alta",IF(Tb_prod[[#This Row],[Recuperación_Metal_Porcentaje]]&gt;75,"Media","Baja"))</f>
        <v>Alta</v>
      </c>
      <c r="X151" t="str">
        <f>IF(AND(Tb_prod[[#This Row],[Consumo_Energia_MWh]]&lt;=2000,Tb_prod[[#This Row],[Riesgo_Ambiental]]="Alto"),"Crítica","Normal")</f>
        <v>Normal</v>
      </c>
    </row>
    <row r="152" spans="1:24">
      <c r="A152">
        <v>248</v>
      </c>
      <c r="B152" t="str">
        <f>VLOOKUP(Tb_prod[[#This Row],[Región]],AUX_REGION[],2,0)</f>
        <v>Minera Romero</v>
      </c>
      <c r="C152" t="s">
        <v>27</v>
      </c>
      <c r="D152" t="s">
        <v>23</v>
      </c>
      <c r="E152" t="s">
        <v>19</v>
      </c>
      <c r="F152" t="s">
        <v>26</v>
      </c>
      <c r="G152" t="s">
        <v>20</v>
      </c>
      <c r="H152" s="23">
        <v>8245.48</v>
      </c>
      <c r="I152" s="23">
        <v>1403.97</v>
      </c>
      <c r="J152" s="23">
        <v>43826.17</v>
      </c>
      <c r="K152" s="23">
        <v>683.45</v>
      </c>
      <c r="L152" s="10">
        <v>23523990390</v>
      </c>
      <c r="M152" s="9">
        <v>89829022140</v>
      </c>
      <c r="N152" s="12">
        <f xml:space="preserve"> Tb_prod[[#This Row],[Costo_Mantenimiento_CLP]] / Tb_prod[[#This Row],[Dias_Operación_Mes]]</f>
        <v>784133013</v>
      </c>
      <c r="O152" s="11">
        <f>Tb_prod[[#This Row],[Costo_Operativo_CLP]] / Tb_prod[[#This Row],[Producción_Toneladas]]</f>
        <v>10894335.095106654</v>
      </c>
      <c r="P152">
        <v>231</v>
      </c>
      <c r="Q152">
        <v>30</v>
      </c>
      <c r="R152" s="6">
        <v>45206</v>
      </c>
      <c r="S152" t="str">
        <f t="shared" si="4"/>
        <v>sábado</v>
      </c>
      <c r="T152" t="str">
        <f t="shared" si="5"/>
        <v>octubre</v>
      </c>
      <c r="U152">
        <v>82.12</v>
      </c>
      <c r="V152">
        <f xml:space="preserve"> Tb_prod[[#This Row],[Emisiones_CO2_ton]] / Tb_prod[[#This Row],[Cantidad_Empleados]]</f>
        <v>2.9586580086580088</v>
      </c>
      <c r="W152" t="str">
        <f>IF(Tb_prod[[#This Row],[Recuperación_Metal_Porcentaje]]&gt;90,"Alta",IF(Tb_prod[[#This Row],[Recuperación_Metal_Porcentaje]]&gt;75,"Media","Baja"))</f>
        <v>Media</v>
      </c>
      <c r="X152" t="str">
        <f>IF(AND(Tb_prod[[#This Row],[Consumo_Energia_MWh]]&lt;=2000,Tb_prod[[#This Row],[Riesgo_Ambiental]]="Alto"),"Crítica","Normal")</f>
        <v>Crítica</v>
      </c>
    </row>
    <row r="153" spans="1:24">
      <c r="A153">
        <v>287</v>
      </c>
      <c r="B153" t="str">
        <f>VLOOKUP(Tb_prod[[#This Row],[Región]],AUX_REGION[],2,0)</f>
        <v>Minera Romero</v>
      </c>
      <c r="C153" t="s">
        <v>12</v>
      </c>
      <c r="D153" t="s">
        <v>23</v>
      </c>
      <c r="E153" t="s">
        <v>14</v>
      </c>
      <c r="F153" t="s">
        <v>26</v>
      </c>
      <c r="G153" t="s">
        <v>20</v>
      </c>
      <c r="H153" s="23">
        <v>7485.48</v>
      </c>
      <c r="I153" s="23">
        <v>371.54</v>
      </c>
      <c r="J153" s="23">
        <v>43959.63</v>
      </c>
      <c r="K153" s="23">
        <v>892.35</v>
      </c>
      <c r="L153" s="10">
        <v>1128243330</v>
      </c>
      <c r="M153" s="9">
        <v>175088781900</v>
      </c>
      <c r="N153" s="12">
        <f xml:space="preserve"> Tb_prod[[#This Row],[Costo_Mantenimiento_CLP]] / Tb_prod[[#This Row],[Dias_Operación_Mes]]</f>
        <v>56412166.5</v>
      </c>
      <c r="O153" s="11">
        <f>Tb_prod[[#This Row],[Costo_Operativo_CLP]] / Tb_prod[[#This Row],[Producción_Toneladas]]</f>
        <v>23390454.840571348</v>
      </c>
      <c r="P153">
        <v>270</v>
      </c>
      <c r="Q153">
        <v>20</v>
      </c>
      <c r="R153" s="6">
        <v>45397</v>
      </c>
      <c r="S153" t="str">
        <f t="shared" si="4"/>
        <v>lunes</v>
      </c>
      <c r="T153" t="str">
        <f t="shared" si="5"/>
        <v>abril</v>
      </c>
      <c r="U153">
        <v>72.38</v>
      </c>
      <c r="V153">
        <f xml:space="preserve"> Tb_prod[[#This Row],[Emisiones_CO2_ton]] / Tb_prod[[#This Row],[Cantidad_Empleados]]</f>
        <v>3.3050000000000002</v>
      </c>
      <c r="W153" t="str">
        <f>IF(Tb_prod[[#This Row],[Recuperación_Metal_Porcentaje]]&gt;90,"Alta",IF(Tb_prod[[#This Row],[Recuperación_Metal_Porcentaje]]&gt;75,"Media","Baja"))</f>
        <v>Baja</v>
      </c>
      <c r="X153" t="str">
        <f>IF(AND(Tb_prod[[#This Row],[Consumo_Energia_MWh]]&lt;=2000,Tb_prod[[#This Row],[Riesgo_Ambiental]]="Alto"),"Crítica","Normal")</f>
        <v>Crítica</v>
      </c>
    </row>
    <row r="154" spans="1:24">
      <c r="A154">
        <v>114</v>
      </c>
      <c r="B154" t="str">
        <f>VLOOKUP(Tb_prod[[#This Row],[Región]],AUX_REGION[],2,0)</f>
        <v>Minera Romero</v>
      </c>
      <c r="C154" t="s">
        <v>21</v>
      </c>
      <c r="D154" t="s">
        <v>23</v>
      </c>
      <c r="E154" t="s">
        <v>14</v>
      </c>
      <c r="F154" t="s">
        <v>15</v>
      </c>
      <c r="G154" t="s">
        <v>20</v>
      </c>
      <c r="H154" s="23">
        <v>3719.88</v>
      </c>
      <c r="I154" s="23">
        <v>1997.02</v>
      </c>
      <c r="J154" s="23">
        <v>43979.25</v>
      </c>
      <c r="K154" s="23">
        <v>987.3</v>
      </c>
      <c r="L154" s="10">
        <v>1538443620</v>
      </c>
      <c r="M154" s="9">
        <v>40694142690</v>
      </c>
      <c r="N154" s="12">
        <f xml:space="preserve"> Tb_prod[[#This Row],[Costo_Mantenimiento_CLP]] / Tb_prod[[#This Row],[Dias_Operación_Mes]]</f>
        <v>51281454</v>
      </c>
      <c r="O154" s="11">
        <f>Tb_prod[[#This Row],[Costo_Operativo_CLP]] / Tb_prod[[#This Row],[Producción_Toneladas]]</f>
        <v>10939638.560921319</v>
      </c>
      <c r="P154">
        <v>232</v>
      </c>
      <c r="Q154">
        <v>30</v>
      </c>
      <c r="R154" s="6">
        <v>45669</v>
      </c>
      <c r="S154" t="str">
        <f t="shared" si="4"/>
        <v>domingo</v>
      </c>
      <c r="T154" t="str">
        <f t="shared" si="5"/>
        <v>enero</v>
      </c>
      <c r="U154">
        <v>83.3</v>
      </c>
      <c r="V154">
        <f xml:space="preserve"> Tb_prod[[#This Row],[Emisiones_CO2_ton]] / Tb_prod[[#This Row],[Cantidad_Empleados]]</f>
        <v>4.2556034482758616</v>
      </c>
      <c r="W154" t="str">
        <f>IF(Tb_prod[[#This Row],[Recuperación_Metal_Porcentaje]]&gt;90,"Alta",IF(Tb_prod[[#This Row],[Recuperación_Metal_Porcentaje]]&gt;75,"Media","Baja"))</f>
        <v>Media</v>
      </c>
      <c r="X154" t="str">
        <f>IF(AND(Tb_prod[[#This Row],[Consumo_Energia_MWh]]&lt;=2000,Tb_prod[[#This Row],[Riesgo_Ambiental]]="Alto"),"Crítica","Normal")</f>
        <v>Crítica</v>
      </c>
    </row>
    <row r="155" spans="1:24">
      <c r="A155">
        <v>423</v>
      </c>
      <c r="B155" t="str">
        <f>VLOOKUP(Tb_prod[[#This Row],[Región]],AUX_REGION[],2,0)</f>
        <v>Minera del Norte</v>
      </c>
      <c r="C155" t="s">
        <v>25</v>
      </c>
      <c r="D155" t="s">
        <v>18</v>
      </c>
      <c r="E155" t="s">
        <v>14</v>
      </c>
      <c r="F155" t="s">
        <v>24</v>
      </c>
      <c r="G155" t="s">
        <v>16</v>
      </c>
      <c r="H155" s="23">
        <v>5474.3</v>
      </c>
      <c r="I155" s="23">
        <v>2149.52</v>
      </c>
      <c r="J155" s="23">
        <v>44028.7</v>
      </c>
      <c r="K155" s="23">
        <v>1180.74</v>
      </c>
      <c r="L155" s="10">
        <v>27622489680</v>
      </c>
      <c r="M155" s="9">
        <v>169967370510</v>
      </c>
      <c r="N155" s="12">
        <f xml:space="preserve"> Tb_prod[[#This Row],[Costo_Mantenimiento_CLP]] / Tb_prod[[#This Row],[Dias_Operación_Mes]]</f>
        <v>986517488.57142854</v>
      </c>
      <c r="O155" s="11">
        <f>Tb_prod[[#This Row],[Costo_Operativo_CLP]] / Tb_prod[[#This Row],[Producción_Toneladas]]</f>
        <v>31048238.224065177</v>
      </c>
      <c r="P155">
        <v>97</v>
      </c>
      <c r="Q155">
        <v>28</v>
      </c>
      <c r="R155" s="6">
        <v>45191</v>
      </c>
      <c r="S155" t="str">
        <f t="shared" si="4"/>
        <v>viernes</v>
      </c>
      <c r="T155" t="str">
        <f t="shared" si="5"/>
        <v>septiembre</v>
      </c>
      <c r="U155">
        <v>73.040000000000006</v>
      </c>
      <c r="V155">
        <f xml:space="preserve"> Tb_prod[[#This Row],[Emisiones_CO2_ton]] / Tb_prod[[#This Row],[Cantidad_Empleados]]</f>
        <v>12.17257731958763</v>
      </c>
      <c r="W155" t="str">
        <f>IF(Tb_prod[[#This Row],[Recuperación_Metal_Porcentaje]]&gt;90,"Alta",IF(Tb_prod[[#This Row],[Recuperación_Metal_Porcentaje]]&gt;75,"Media","Baja"))</f>
        <v>Baja</v>
      </c>
      <c r="X155" t="str">
        <f>IF(AND(Tb_prod[[#This Row],[Consumo_Energia_MWh]]&lt;=2000,Tb_prod[[#This Row],[Riesgo_Ambiental]]="Alto"),"Crítica","Normal")</f>
        <v>Normal</v>
      </c>
    </row>
    <row r="156" spans="1:24">
      <c r="A156">
        <v>251</v>
      </c>
      <c r="B156" t="str">
        <f>VLOOKUP(Tb_prod[[#This Row],[Región]],AUX_REGION[],2,0)</f>
        <v>Minera Staff</v>
      </c>
      <c r="C156" t="s">
        <v>27</v>
      </c>
      <c r="D156" t="s">
        <v>13</v>
      </c>
      <c r="E156" t="s">
        <v>19</v>
      </c>
      <c r="F156" t="s">
        <v>24</v>
      </c>
      <c r="G156" t="s">
        <v>20</v>
      </c>
      <c r="H156" s="23">
        <v>7507.28</v>
      </c>
      <c r="I156" s="23">
        <v>2963.67</v>
      </c>
      <c r="J156" s="23">
        <v>44270.51</v>
      </c>
      <c r="K156" s="23">
        <v>769.89</v>
      </c>
      <c r="L156" s="10">
        <v>23145704010</v>
      </c>
      <c r="M156" s="9">
        <v>136301521860</v>
      </c>
      <c r="N156" s="12">
        <f xml:space="preserve"> Tb_prod[[#This Row],[Costo_Mantenimiento_CLP]] / Tb_prod[[#This Row],[Dias_Operación_Mes]]</f>
        <v>964404333.75</v>
      </c>
      <c r="O156" s="11">
        <f>Tb_prod[[#This Row],[Costo_Operativo_CLP]] / Tb_prod[[#This Row],[Producción_Toneladas]]</f>
        <v>18155912.908536781</v>
      </c>
      <c r="P156">
        <v>178</v>
      </c>
      <c r="Q156">
        <v>24</v>
      </c>
      <c r="R156" s="6">
        <v>45228</v>
      </c>
      <c r="S156" t="str">
        <f t="shared" si="4"/>
        <v>domingo</v>
      </c>
      <c r="T156" t="str">
        <f t="shared" si="5"/>
        <v>octubre</v>
      </c>
      <c r="U156">
        <v>83.09</v>
      </c>
      <c r="V156">
        <f xml:space="preserve"> Tb_prod[[#This Row],[Emisiones_CO2_ton]] / Tb_prod[[#This Row],[Cantidad_Empleados]]</f>
        <v>4.3252247191011239</v>
      </c>
      <c r="W156" t="str">
        <f>IF(Tb_prod[[#This Row],[Recuperación_Metal_Porcentaje]]&gt;90,"Alta",IF(Tb_prod[[#This Row],[Recuperación_Metal_Porcentaje]]&gt;75,"Media","Baja"))</f>
        <v>Media</v>
      </c>
      <c r="X156" t="str">
        <f>IF(AND(Tb_prod[[#This Row],[Consumo_Energia_MWh]]&lt;=2000,Tb_prod[[#This Row],[Riesgo_Ambiental]]="Alto"),"Crítica","Normal")</f>
        <v>Normal</v>
      </c>
    </row>
    <row r="157" spans="1:24">
      <c r="A157">
        <v>471</v>
      </c>
      <c r="B157" t="str">
        <f>VLOOKUP(Tb_prod[[#This Row],[Región]],AUX_REGION[],2,0)</f>
        <v>Minera del Norte</v>
      </c>
      <c r="C157" t="s">
        <v>25</v>
      </c>
      <c r="D157" t="s">
        <v>18</v>
      </c>
      <c r="E157" t="s">
        <v>19</v>
      </c>
      <c r="F157" t="s">
        <v>26</v>
      </c>
      <c r="G157" t="s">
        <v>22</v>
      </c>
      <c r="H157" s="23">
        <v>7562.82</v>
      </c>
      <c r="I157" s="23">
        <v>1116.99</v>
      </c>
      <c r="J157" s="23">
        <v>44351.32</v>
      </c>
      <c r="K157" s="23">
        <v>1482.52</v>
      </c>
      <c r="L157" s="10">
        <v>2685171510</v>
      </c>
      <c r="M157" s="9">
        <v>120437769510</v>
      </c>
      <c r="N157" s="12">
        <f xml:space="preserve"> Tb_prod[[#This Row],[Costo_Mantenimiento_CLP]] / Tb_prod[[#This Row],[Dias_Operación_Mes]]</f>
        <v>107406860.40000001</v>
      </c>
      <c r="O157" s="11">
        <f>Tb_prod[[#This Row],[Costo_Operativo_CLP]] / Tb_prod[[#This Row],[Producción_Toneladas]]</f>
        <v>15924981.621934677</v>
      </c>
      <c r="P157">
        <v>154</v>
      </c>
      <c r="Q157">
        <v>25</v>
      </c>
      <c r="R157" s="6">
        <v>45134</v>
      </c>
      <c r="S157" t="str">
        <f t="shared" si="4"/>
        <v>jueves</v>
      </c>
      <c r="T157" t="str">
        <f t="shared" si="5"/>
        <v>julio</v>
      </c>
      <c r="U157">
        <v>75.53</v>
      </c>
      <c r="V157">
        <f xml:space="preserve"> Tb_prod[[#This Row],[Emisiones_CO2_ton]] / Tb_prod[[#This Row],[Cantidad_Empleados]]</f>
        <v>9.6267532467532462</v>
      </c>
      <c r="W157" t="str">
        <f>IF(Tb_prod[[#This Row],[Recuperación_Metal_Porcentaje]]&gt;90,"Alta",IF(Tb_prod[[#This Row],[Recuperación_Metal_Porcentaje]]&gt;75,"Media","Baja"))</f>
        <v>Media</v>
      </c>
      <c r="X157" t="str">
        <f>IF(AND(Tb_prod[[#This Row],[Consumo_Energia_MWh]]&lt;=2000,Tb_prod[[#This Row],[Riesgo_Ambiental]]="Alto"),"Crítica","Normal")</f>
        <v>Normal</v>
      </c>
    </row>
    <row r="158" spans="1:24">
      <c r="A158">
        <v>303</v>
      </c>
      <c r="B158" t="str">
        <f>VLOOKUP(Tb_prod[[#This Row],[Región]],AUX_REGION[],2,0)</f>
        <v>Minera Staff</v>
      </c>
      <c r="C158" t="s">
        <v>27</v>
      </c>
      <c r="D158" t="s">
        <v>13</v>
      </c>
      <c r="E158" t="s">
        <v>14</v>
      </c>
      <c r="F158" t="s">
        <v>15</v>
      </c>
      <c r="G158" t="s">
        <v>22</v>
      </c>
      <c r="H158" s="23">
        <v>6570.51</v>
      </c>
      <c r="I158" s="23">
        <v>2104.35</v>
      </c>
      <c r="J158" s="23">
        <v>44356.36</v>
      </c>
      <c r="K158" s="23">
        <v>1281.22</v>
      </c>
      <c r="L158" s="10">
        <v>16037822340</v>
      </c>
      <c r="M158" s="9">
        <v>125536429530</v>
      </c>
      <c r="N158" s="12">
        <f xml:space="preserve"> Tb_prod[[#This Row],[Costo_Mantenimiento_CLP]] / Tb_prod[[#This Row],[Dias_Operación_Mes]]</f>
        <v>728991924.5454545</v>
      </c>
      <c r="O158" s="11">
        <f>Tb_prod[[#This Row],[Costo_Operativo_CLP]] / Tb_prod[[#This Row],[Producción_Toneladas]]</f>
        <v>19106040.403256368</v>
      </c>
      <c r="P158">
        <v>250</v>
      </c>
      <c r="Q158">
        <v>22</v>
      </c>
      <c r="R158" s="6">
        <v>45919</v>
      </c>
      <c r="S158" t="str">
        <f t="shared" si="4"/>
        <v>viernes</v>
      </c>
      <c r="T158" t="str">
        <f t="shared" si="5"/>
        <v>septiembre</v>
      </c>
      <c r="U158">
        <v>96.6</v>
      </c>
      <c r="V158">
        <f xml:space="preserve"> Tb_prod[[#This Row],[Emisiones_CO2_ton]] / Tb_prod[[#This Row],[Cantidad_Empleados]]</f>
        <v>5.1248800000000001</v>
      </c>
      <c r="W158" t="str">
        <f>IF(Tb_prod[[#This Row],[Recuperación_Metal_Porcentaje]]&gt;90,"Alta",IF(Tb_prod[[#This Row],[Recuperación_Metal_Porcentaje]]&gt;75,"Media","Baja"))</f>
        <v>Alta</v>
      </c>
      <c r="X158" t="str">
        <f>IF(AND(Tb_prod[[#This Row],[Consumo_Energia_MWh]]&lt;=2000,Tb_prod[[#This Row],[Riesgo_Ambiental]]="Alto"),"Crítica","Normal")</f>
        <v>Normal</v>
      </c>
    </row>
    <row r="159" spans="1:24">
      <c r="A159">
        <v>360</v>
      </c>
      <c r="B159" t="str">
        <f>VLOOKUP(Tb_prod[[#This Row],[Región]],AUX_REGION[],2,0)</f>
        <v>Minera Staff</v>
      </c>
      <c r="C159" t="s">
        <v>17</v>
      </c>
      <c r="D159" t="s">
        <v>13</v>
      </c>
      <c r="E159" t="s">
        <v>14</v>
      </c>
      <c r="F159" t="s">
        <v>15</v>
      </c>
      <c r="G159" t="s">
        <v>16</v>
      </c>
      <c r="H159" s="23">
        <v>6127.61</v>
      </c>
      <c r="I159" s="23">
        <v>1586.9</v>
      </c>
      <c r="J159" s="23">
        <v>44362.44</v>
      </c>
      <c r="K159" s="23">
        <v>1451.93</v>
      </c>
      <c r="L159" s="10">
        <v>44438415930</v>
      </c>
      <c r="M159" s="9">
        <v>73056138120</v>
      </c>
      <c r="N159" s="12">
        <f xml:space="preserve"> Tb_prod[[#This Row],[Costo_Mantenimiento_CLP]] / Tb_prod[[#This Row],[Dias_Operación_Mes]]</f>
        <v>2019927996.8181818</v>
      </c>
      <c r="O159" s="11">
        <f>Tb_prod[[#This Row],[Costo_Operativo_CLP]] / Tb_prod[[#This Row],[Producción_Toneladas]]</f>
        <v>11922452.329701141</v>
      </c>
      <c r="P159">
        <v>135</v>
      </c>
      <c r="Q159">
        <v>22</v>
      </c>
      <c r="R159" s="6">
        <v>45688</v>
      </c>
      <c r="S159" t="str">
        <f t="shared" si="4"/>
        <v>viernes</v>
      </c>
      <c r="T159" t="str">
        <f t="shared" si="5"/>
        <v>enero</v>
      </c>
      <c r="U159">
        <v>75.03</v>
      </c>
      <c r="V159">
        <f xml:space="preserve"> Tb_prod[[#This Row],[Emisiones_CO2_ton]] / Tb_prod[[#This Row],[Cantidad_Empleados]]</f>
        <v>10.755037037037038</v>
      </c>
      <c r="W159" t="str">
        <f>IF(Tb_prod[[#This Row],[Recuperación_Metal_Porcentaje]]&gt;90,"Alta",IF(Tb_prod[[#This Row],[Recuperación_Metal_Porcentaje]]&gt;75,"Media","Baja"))</f>
        <v>Media</v>
      </c>
      <c r="X159" t="str">
        <f>IF(AND(Tb_prod[[#This Row],[Consumo_Energia_MWh]]&lt;=2000,Tb_prod[[#This Row],[Riesgo_Ambiental]]="Alto"),"Crítica","Normal")</f>
        <v>Normal</v>
      </c>
    </row>
    <row r="160" spans="1:24">
      <c r="A160">
        <v>434</v>
      </c>
      <c r="B160" t="str">
        <f>VLOOKUP(Tb_prod[[#This Row],[Región]],AUX_REGION[],2,0)</f>
        <v>Minera Staff</v>
      </c>
      <c r="C160" t="s">
        <v>21</v>
      </c>
      <c r="D160" t="s">
        <v>13</v>
      </c>
      <c r="E160" t="s">
        <v>19</v>
      </c>
      <c r="F160" t="s">
        <v>24</v>
      </c>
      <c r="G160" t="s">
        <v>16</v>
      </c>
      <c r="H160" s="23">
        <v>6728.5</v>
      </c>
      <c r="I160" s="23">
        <v>1594.72</v>
      </c>
      <c r="J160" s="23">
        <v>44481.03</v>
      </c>
      <c r="K160" s="23">
        <v>841.59</v>
      </c>
      <c r="L160" s="10">
        <v>14008785570</v>
      </c>
      <c r="M160" s="9">
        <v>15344736660</v>
      </c>
      <c r="N160" s="12">
        <f xml:space="preserve"> Tb_prod[[#This Row],[Costo_Mantenimiento_CLP]] / Tb_prod[[#This Row],[Dias_Operación_Mes]]</f>
        <v>500313770.35714287</v>
      </c>
      <c r="O160" s="11">
        <f>Tb_prod[[#This Row],[Costo_Operativo_CLP]] / Tb_prod[[#This Row],[Producción_Toneladas]]</f>
        <v>2280558.3205766515</v>
      </c>
      <c r="P160">
        <v>285</v>
      </c>
      <c r="Q160">
        <v>28</v>
      </c>
      <c r="R160" s="6">
        <v>45817</v>
      </c>
      <c r="S160" t="str">
        <f t="shared" si="4"/>
        <v>lunes</v>
      </c>
      <c r="T160" t="str">
        <f t="shared" si="5"/>
        <v>junio</v>
      </c>
      <c r="U160">
        <v>75.12</v>
      </c>
      <c r="V160">
        <f xml:space="preserve"> Tb_prod[[#This Row],[Emisiones_CO2_ton]] / Tb_prod[[#This Row],[Cantidad_Empleados]]</f>
        <v>2.9529473684210528</v>
      </c>
      <c r="W160" t="str">
        <f>IF(Tb_prod[[#This Row],[Recuperación_Metal_Porcentaje]]&gt;90,"Alta",IF(Tb_prod[[#This Row],[Recuperación_Metal_Porcentaje]]&gt;75,"Media","Baja"))</f>
        <v>Media</v>
      </c>
      <c r="X160" t="str">
        <f>IF(AND(Tb_prod[[#This Row],[Consumo_Energia_MWh]]&lt;=2000,Tb_prod[[#This Row],[Riesgo_Ambiental]]="Alto"),"Crítica","Normal")</f>
        <v>Normal</v>
      </c>
    </row>
    <row r="161" spans="1:24">
      <c r="A161">
        <v>280</v>
      </c>
      <c r="B161" t="str">
        <f>VLOOKUP(Tb_prod[[#This Row],[Región]],AUX_REGION[],2,0)</f>
        <v>Minera Staff</v>
      </c>
      <c r="C161" t="s">
        <v>21</v>
      </c>
      <c r="D161" t="s">
        <v>13</v>
      </c>
      <c r="E161" t="s">
        <v>19</v>
      </c>
      <c r="F161" t="s">
        <v>15</v>
      </c>
      <c r="G161" t="s">
        <v>20</v>
      </c>
      <c r="H161" s="23">
        <v>6700.32</v>
      </c>
      <c r="I161" s="23">
        <v>3004.36</v>
      </c>
      <c r="J161" s="23">
        <v>44590.97</v>
      </c>
      <c r="K161" s="23">
        <v>1109.97</v>
      </c>
      <c r="L161" s="10">
        <v>35534913300</v>
      </c>
      <c r="M161" s="9">
        <v>130762313730</v>
      </c>
      <c r="N161" s="12">
        <f xml:space="preserve"> Tb_prod[[#This Row],[Costo_Mantenimiento_CLP]] / Tb_prod[[#This Row],[Dias_Operación_Mes]]</f>
        <v>1184497110</v>
      </c>
      <c r="O161" s="11">
        <f>Tb_prod[[#This Row],[Costo_Operativo_CLP]] / Tb_prod[[#This Row],[Producción_Toneladas]]</f>
        <v>19515831.143885665</v>
      </c>
      <c r="P161">
        <v>259</v>
      </c>
      <c r="Q161">
        <v>30</v>
      </c>
      <c r="R161" s="6">
        <v>45611</v>
      </c>
      <c r="S161" t="str">
        <f t="shared" si="4"/>
        <v>viernes</v>
      </c>
      <c r="T161" t="str">
        <f t="shared" si="5"/>
        <v>noviembre</v>
      </c>
      <c r="U161">
        <v>92.57</v>
      </c>
      <c r="V161">
        <f xml:space="preserve"> Tb_prod[[#This Row],[Emisiones_CO2_ton]] / Tb_prod[[#This Row],[Cantidad_Empleados]]</f>
        <v>4.2855984555984561</v>
      </c>
      <c r="W161" t="str">
        <f>IF(Tb_prod[[#This Row],[Recuperación_Metal_Porcentaje]]&gt;90,"Alta",IF(Tb_prod[[#This Row],[Recuperación_Metal_Porcentaje]]&gt;75,"Media","Baja"))</f>
        <v>Alta</v>
      </c>
      <c r="X161" t="str">
        <f>IF(AND(Tb_prod[[#This Row],[Consumo_Energia_MWh]]&lt;=2000,Tb_prod[[#This Row],[Riesgo_Ambiental]]="Alto"),"Crítica","Normal")</f>
        <v>Normal</v>
      </c>
    </row>
    <row r="162" spans="1:24">
      <c r="A162">
        <v>281</v>
      </c>
      <c r="B162" t="str">
        <f>VLOOKUP(Tb_prod[[#This Row],[Región]],AUX_REGION[],2,0)</f>
        <v>Minera del Norte</v>
      </c>
      <c r="C162" t="s">
        <v>25</v>
      </c>
      <c r="D162" t="s">
        <v>18</v>
      </c>
      <c r="E162" t="s">
        <v>19</v>
      </c>
      <c r="F162" t="s">
        <v>15</v>
      </c>
      <c r="G162" t="s">
        <v>20</v>
      </c>
      <c r="H162" s="23">
        <v>3084.17</v>
      </c>
      <c r="I162" s="23">
        <v>2257.29</v>
      </c>
      <c r="J162" s="23">
        <v>44602.62</v>
      </c>
      <c r="K162" s="23">
        <v>745.93</v>
      </c>
      <c r="L162" s="10">
        <v>44263829070</v>
      </c>
      <c r="M162" s="9">
        <v>177092854920</v>
      </c>
      <c r="N162" s="12">
        <f xml:space="preserve"> Tb_prod[[#This Row],[Costo_Mantenimiento_CLP]] / Tb_prod[[#This Row],[Dias_Operación_Mes]]</f>
        <v>1475460969</v>
      </c>
      <c r="O162" s="11">
        <f>Tb_prod[[#This Row],[Costo_Operativo_CLP]] / Tb_prod[[#This Row],[Producción_Toneladas]]</f>
        <v>57419939.536406875</v>
      </c>
      <c r="P162">
        <v>194</v>
      </c>
      <c r="Q162">
        <v>30</v>
      </c>
      <c r="R162" s="6">
        <v>45580</v>
      </c>
      <c r="S162" t="str">
        <f t="shared" si="4"/>
        <v>martes</v>
      </c>
      <c r="T162" t="str">
        <f t="shared" si="5"/>
        <v>octubre</v>
      </c>
      <c r="U162">
        <v>74.95</v>
      </c>
      <c r="V162">
        <f xml:space="preserve"> Tb_prod[[#This Row],[Emisiones_CO2_ton]] / Tb_prod[[#This Row],[Cantidad_Empleados]]</f>
        <v>3.8449999999999998</v>
      </c>
      <c r="W162" t="str">
        <f>IF(Tb_prod[[#This Row],[Recuperación_Metal_Porcentaje]]&gt;90,"Alta",IF(Tb_prod[[#This Row],[Recuperación_Metal_Porcentaje]]&gt;75,"Media","Baja"))</f>
        <v>Baja</v>
      </c>
      <c r="X162" t="str">
        <f>IF(AND(Tb_prod[[#This Row],[Consumo_Energia_MWh]]&lt;=2000,Tb_prod[[#This Row],[Riesgo_Ambiental]]="Alto"),"Crítica","Normal")</f>
        <v>Normal</v>
      </c>
    </row>
    <row r="163" spans="1:24">
      <c r="A163">
        <v>91</v>
      </c>
      <c r="B163" t="str">
        <f>VLOOKUP(Tb_prod[[#This Row],[Región]],AUX_REGION[],2,0)</f>
        <v>Minera Romero</v>
      </c>
      <c r="C163" t="s">
        <v>21</v>
      </c>
      <c r="D163" t="s">
        <v>23</v>
      </c>
      <c r="E163" t="s">
        <v>19</v>
      </c>
      <c r="F163" t="s">
        <v>26</v>
      </c>
      <c r="G163" t="s">
        <v>22</v>
      </c>
      <c r="H163" s="23">
        <v>4807.68</v>
      </c>
      <c r="I163" s="23">
        <v>1740.48</v>
      </c>
      <c r="J163" s="23">
        <v>44603.9</v>
      </c>
      <c r="K163" s="23">
        <v>983.62</v>
      </c>
      <c r="L163" s="10">
        <v>1147470570</v>
      </c>
      <c r="M163" s="9">
        <v>329559367620</v>
      </c>
      <c r="N163" s="12">
        <f xml:space="preserve"> Tb_prod[[#This Row],[Costo_Mantenimiento_CLP]] / Tb_prod[[#This Row],[Dias_Operación_Mes]]</f>
        <v>45898822.799999997</v>
      </c>
      <c r="O163" s="11">
        <f>Tb_prod[[#This Row],[Costo_Operativo_CLP]] / Tb_prod[[#This Row],[Producción_Toneladas]]</f>
        <v>68548523.949181303</v>
      </c>
      <c r="P163">
        <v>145</v>
      </c>
      <c r="Q163">
        <v>25</v>
      </c>
      <c r="R163" s="6">
        <v>45856</v>
      </c>
      <c r="S163" t="str">
        <f t="shared" si="4"/>
        <v>viernes</v>
      </c>
      <c r="T163" t="str">
        <f t="shared" si="5"/>
        <v>julio</v>
      </c>
      <c r="U163">
        <v>90.36</v>
      </c>
      <c r="V163">
        <f xml:space="preserve"> Tb_prod[[#This Row],[Emisiones_CO2_ton]] / Tb_prod[[#This Row],[Cantidad_Empleados]]</f>
        <v>6.783586206896552</v>
      </c>
      <c r="W163" t="str">
        <f>IF(Tb_prod[[#This Row],[Recuperación_Metal_Porcentaje]]&gt;90,"Alta",IF(Tb_prod[[#This Row],[Recuperación_Metal_Porcentaje]]&gt;75,"Media","Baja"))</f>
        <v>Alta</v>
      </c>
      <c r="X163" t="str">
        <f>IF(AND(Tb_prod[[#This Row],[Consumo_Energia_MWh]]&lt;=2000,Tb_prod[[#This Row],[Riesgo_Ambiental]]="Alto"),"Crítica","Normal")</f>
        <v>Normal</v>
      </c>
    </row>
    <row r="164" spans="1:24">
      <c r="A164">
        <v>489</v>
      </c>
      <c r="B164" t="str">
        <f>VLOOKUP(Tb_prod[[#This Row],[Región]],AUX_REGION[],2,0)</f>
        <v>Minera Romero</v>
      </c>
      <c r="C164" t="s">
        <v>12</v>
      </c>
      <c r="D164" t="s">
        <v>23</v>
      </c>
      <c r="E164" t="s">
        <v>14</v>
      </c>
      <c r="F164" t="s">
        <v>24</v>
      </c>
      <c r="G164" t="s">
        <v>22</v>
      </c>
      <c r="H164" s="23">
        <v>2981.95</v>
      </c>
      <c r="I164" s="23">
        <v>1515.11</v>
      </c>
      <c r="J164" s="23">
        <v>44623.59</v>
      </c>
      <c r="K164" s="23">
        <v>1488.44</v>
      </c>
      <c r="L164" s="10">
        <v>6084841500</v>
      </c>
      <c r="M164" s="9">
        <v>49500680580</v>
      </c>
      <c r="N164" s="12">
        <f xml:space="preserve"> Tb_prod[[#This Row],[Costo_Mantenimiento_CLP]] / Tb_prod[[#This Row],[Dias_Operación_Mes]]</f>
        <v>253535062.5</v>
      </c>
      <c r="O164" s="11">
        <f>Tb_prod[[#This Row],[Costo_Operativo_CLP]] / Tb_prod[[#This Row],[Producción_Toneladas]]</f>
        <v>16600104.153322492</v>
      </c>
      <c r="P164">
        <v>295</v>
      </c>
      <c r="Q164">
        <v>24</v>
      </c>
      <c r="R164" s="6">
        <v>45006</v>
      </c>
      <c r="S164" t="str">
        <f t="shared" si="4"/>
        <v>martes</v>
      </c>
      <c r="T164" t="str">
        <f t="shared" si="5"/>
        <v>marzo</v>
      </c>
      <c r="U164">
        <v>93.31</v>
      </c>
      <c r="V164">
        <f xml:space="preserve"> Tb_prod[[#This Row],[Emisiones_CO2_ton]] / Tb_prod[[#This Row],[Cantidad_Empleados]]</f>
        <v>5.0455593220338981</v>
      </c>
      <c r="W164" t="str">
        <f>IF(Tb_prod[[#This Row],[Recuperación_Metal_Porcentaje]]&gt;90,"Alta",IF(Tb_prod[[#This Row],[Recuperación_Metal_Porcentaje]]&gt;75,"Media","Baja"))</f>
        <v>Alta</v>
      </c>
      <c r="X164" t="str">
        <f>IF(AND(Tb_prod[[#This Row],[Consumo_Energia_MWh]]&lt;=2000,Tb_prod[[#This Row],[Riesgo_Ambiental]]="Alto"),"Crítica","Normal")</f>
        <v>Normal</v>
      </c>
    </row>
    <row r="165" spans="1:24">
      <c r="A165">
        <v>102</v>
      </c>
      <c r="B165" t="str">
        <f>VLOOKUP(Tb_prod[[#This Row],[Región]],AUX_REGION[],2,0)</f>
        <v>Minera del Norte</v>
      </c>
      <c r="C165" t="s">
        <v>27</v>
      </c>
      <c r="D165" t="s">
        <v>18</v>
      </c>
      <c r="E165" t="s">
        <v>19</v>
      </c>
      <c r="F165" t="s">
        <v>24</v>
      </c>
      <c r="G165" t="s">
        <v>20</v>
      </c>
      <c r="H165" s="23">
        <v>9751.06</v>
      </c>
      <c r="I165" s="23">
        <v>2820.59</v>
      </c>
      <c r="J165" s="23">
        <v>44626.43</v>
      </c>
      <c r="K165" s="23">
        <v>815.73</v>
      </c>
      <c r="L165" s="10">
        <v>38786406480</v>
      </c>
      <c r="M165" s="9">
        <v>1420762663500</v>
      </c>
      <c r="N165" s="12">
        <f xml:space="preserve"> Tb_prod[[#This Row],[Costo_Mantenimiento_CLP]] / Tb_prod[[#This Row],[Dias_Operación_Mes]]</f>
        <v>1551456259.2</v>
      </c>
      <c r="O165" s="11">
        <f>Tb_prod[[#This Row],[Costo_Operativo_CLP]] / Tb_prod[[#This Row],[Producción_Toneladas]]</f>
        <v>145703406.96293533</v>
      </c>
      <c r="P165">
        <v>221</v>
      </c>
      <c r="Q165">
        <v>25</v>
      </c>
      <c r="R165" s="6">
        <v>45569</v>
      </c>
      <c r="S165" t="str">
        <f t="shared" si="4"/>
        <v>viernes</v>
      </c>
      <c r="T165" t="str">
        <f t="shared" si="5"/>
        <v>octubre</v>
      </c>
      <c r="U165">
        <v>72.37</v>
      </c>
      <c r="V165">
        <f xml:space="preserve"> Tb_prod[[#This Row],[Emisiones_CO2_ton]] / Tb_prod[[#This Row],[Cantidad_Empleados]]</f>
        <v>3.6910859728506789</v>
      </c>
      <c r="W165" t="str">
        <f>IF(Tb_prod[[#This Row],[Recuperación_Metal_Porcentaje]]&gt;90,"Alta",IF(Tb_prod[[#This Row],[Recuperación_Metal_Porcentaje]]&gt;75,"Media","Baja"))</f>
        <v>Baja</v>
      </c>
      <c r="X165" t="str">
        <f>IF(AND(Tb_prod[[#This Row],[Consumo_Energia_MWh]]&lt;=2000,Tb_prod[[#This Row],[Riesgo_Ambiental]]="Alto"),"Crítica","Normal")</f>
        <v>Normal</v>
      </c>
    </row>
    <row r="166" spans="1:24">
      <c r="A166">
        <v>221</v>
      </c>
      <c r="B166" t="str">
        <f>VLOOKUP(Tb_prod[[#This Row],[Región]],AUX_REGION[],2,0)</f>
        <v>Minera Staff</v>
      </c>
      <c r="C166" t="s">
        <v>25</v>
      </c>
      <c r="D166" t="s">
        <v>13</v>
      </c>
      <c r="E166" t="s">
        <v>19</v>
      </c>
      <c r="F166" t="s">
        <v>15</v>
      </c>
      <c r="G166" t="s">
        <v>16</v>
      </c>
      <c r="H166" s="23">
        <v>5093.75</v>
      </c>
      <c r="I166" s="23">
        <v>2411.94</v>
      </c>
      <c r="J166" s="23">
        <v>44632.88</v>
      </c>
      <c r="K166" s="23">
        <v>1256.82</v>
      </c>
      <c r="L166" s="10">
        <v>34188237450</v>
      </c>
      <c r="M166" s="9">
        <v>175910033160</v>
      </c>
      <c r="N166" s="12">
        <f xml:space="preserve"> Tb_prod[[#This Row],[Costo_Mantenimiento_CLP]] / Tb_prod[[#This Row],[Dias_Operación_Mes]]</f>
        <v>1628011307.1428571</v>
      </c>
      <c r="O166" s="11">
        <f>Tb_prod[[#This Row],[Costo_Operativo_CLP]] / Tb_prod[[#This Row],[Producción_Toneladas]]</f>
        <v>34534485.037546009</v>
      </c>
      <c r="P166">
        <v>108</v>
      </c>
      <c r="Q166">
        <v>21</v>
      </c>
      <c r="R166" s="6">
        <v>45881</v>
      </c>
      <c r="S166" t="str">
        <f t="shared" si="4"/>
        <v>martes</v>
      </c>
      <c r="T166" t="str">
        <f t="shared" si="5"/>
        <v>agosto</v>
      </c>
      <c r="U166">
        <v>97.1</v>
      </c>
      <c r="V166">
        <f xml:space="preserve"> Tb_prod[[#This Row],[Emisiones_CO2_ton]] / Tb_prod[[#This Row],[Cantidad_Empleados]]</f>
        <v>11.637222222222222</v>
      </c>
      <c r="W166" t="str">
        <f>IF(Tb_prod[[#This Row],[Recuperación_Metal_Porcentaje]]&gt;90,"Alta",IF(Tb_prod[[#This Row],[Recuperación_Metal_Porcentaje]]&gt;75,"Media","Baja"))</f>
        <v>Alta</v>
      </c>
      <c r="X166" t="str">
        <f>IF(AND(Tb_prod[[#This Row],[Consumo_Energia_MWh]]&lt;=2000,Tb_prod[[#This Row],[Riesgo_Ambiental]]="Alto"),"Crítica","Normal")</f>
        <v>Normal</v>
      </c>
    </row>
    <row r="167" spans="1:24">
      <c r="A167">
        <v>277</v>
      </c>
      <c r="B167" t="str">
        <f>VLOOKUP(Tb_prod[[#This Row],[Región]],AUX_REGION[],2,0)</f>
        <v>Minera del Norte</v>
      </c>
      <c r="C167" t="s">
        <v>17</v>
      </c>
      <c r="D167" t="s">
        <v>18</v>
      </c>
      <c r="E167" t="s">
        <v>14</v>
      </c>
      <c r="F167" t="s">
        <v>15</v>
      </c>
      <c r="G167" t="s">
        <v>22</v>
      </c>
      <c r="H167" s="23">
        <v>7264.59</v>
      </c>
      <c r="I167" s="23">
        <v>2307.04</v>
      </c>
      <c r="J167" s="23">
        <v>44730.09</v>
      </c>
      <c r="K167" s="23">
        <v>988.3</v>
      </c>
      <c r="L167" s="10">
        <v>24899424210</v>
      </c>
      <c r="M167" s="9">
        <v>64141515630</v>
      </c>
      <c r="N167" s="12">
        <f xml:space="preserve"> Tb_prod[[#This Row],[Costo_Mantenimiento_CLP]] / Tb_prod[[#This Row],[Dias_Operación_Mes]]</f>
        <v>1185686867.1428571</v>
      </c>
      <c r="O167" s="11">
        <f>Tb_prod[[#This Row],[Costo_Operativo_CLP]] / Tb_prod[[#This Row],[Producción_Toneladas]]</f>
        <v>8829337.3239233047</v>
      </c>
      <c r="P167">
        <v>168</v>
      </c>
      <c r="Q167">
        <v>21</v>
      </c>
      <c r="R167" s="6">
        <v>45566</v>
      </c>
      <c r="S167" t="str">
        <f t="shared" si="4"/>
        <v>martes</v>
      </c>
      <c r="T167" t="str">
        <f t="shared" si="5"/>
        <v>octubre</v>
      </c>
      <c r="U167">
        <v>98.37</v>
      </c>
      <c r="V167">
        <f xml:space="preserve"> Tb_prod[[#This Row],[Emisiones_CO2_ton]] / Tb_prod[[#This Row],[Cantidad_Empleados]]</f>
        <v>5.8827380952380945</v>
      </c>
      <c r="W167" t="str">
        <f>IF(Tb_prod[[#This Row],[Recuperación_Metal_Porcentaje]]&gt;90,"Alta",IF(Tb_prod[[#This Row],[Recuperación_Metal_Porcentaje]]&gt;75,"Media","Baja"))</f>
        <v>Alta</v>
      </c>
      <c r="X167" t="str">
        <f>IF(AND(Tb_prod[[#This Row],[Consumo_Energia_MWh]]&lt;=2000,Tb_prod[[#This Row],[Riesgo_Ambiental]]="Alto"),"Crítica","Normal")</f>
        <v>Normal</v>
      </c>
    </row>
    <row r="168" spans="1:24">
      <c r="A168">
        <v>164</v>
      </c>
      <c r="B168" t="str">
        <f>VLOOKUP(Tb_prod[[#This Row],[Región]],AUX_REGION[],2,0)</f>
        <v>Minera Staff</v>
      </c>
      <c r="C168" t="s">
        <v>27</v>
      </c>
      <c r="D168" t="s">
        <v>13</v>
      </c>
      <c r="E168" t="s">
        <v>19</v>
      </c>
      <c r="F168" t="s">
        <v>26</v>
      </c>
      <c r="G168" t="s">
        <v>16</v>
      </c>
      <c r="H168" s="23">
        <v>6690.13</v>
      </c>
      <c r="I168" s="23">
        <v>1390.87</v>
      </c>
      <c r="J168" s="23">
        <v>44826.239999999998</v>
      </c>
      <c r="K168" s="23">
        <v>1631.7</v>
      </c>
      <c r="L168" s="10">
        <v>30781567080</v>
      </c>
      <c r="M168" s="9">
        <v>19557593640</v>
      </c>
      <c r="N168" s="12">
        <f xml:space="preserve"> Tb_prod[[#This Row],[Costo_Mantenimiento_CLP]] / Tb_prod[[#This Row],[Dias_Operación_Mes]]</f>
        <v>1099341681.4285715</v>
      </c>
      <c r="O168" s="11">
        <f>Tb_prod[[#This Row],[Costo_Operativo_CLP]] / Tb_prod[[#This Row],[Producción_Toneladas]]</f>
        <v>2923350.3145678784</v>
      </c>
      <c r="P168">
        <v>236</v>
      </c>
      <c r="Q168">
        <v>28</v>
      </c>
      <c r="R168" s="6">
        <v>45070</v>
      </c>
      <c r="S168" t="str">
        <f t="shared" si="4"/>
        <v>miércoles</v>
      </c>
      <c r="T168" t="str">
        <f t="shared" si="5"/>
        <v>mayo</v>
      </c>
      <c r="U168">
        <v>88.36</v>
      </c>
      <c r="V168">
        <f xml:space="preserve"> Tb_prod[[#This Row],[Emisiones_CO2_ton]] / Tb_prod[[#This Row],[Cantidad_Empleados]]</f>
        <v>6.9139830508474578</v>
      </c>
      <c r="W168" t="str">
        <f>IF(Tb_prod[[#This Row],[Recuperación_Metal_Porcentaje]]&gt;90,"Alta",IF(Tb_prod[[#This Row],[Recuperación_Metal_Porcentaje]]&gt;75,"Media","Baja"))</f>
        <v>Media</v>
      </c>
      <c r="X168" t="str">
        <f>IF(AND(Tb_prod[[#This Row],[Consumo_Energia_MWh]]&lt;=2000,Tb_prod[[#This Row],[Riesgo_Ambiental]]="Alto"),"Crítica","Normal")</f>
        <v>Normal</v>
      </c>
    </row>
    <row r="169" spans="1:24">
      <c r="A169">
        <v>4</v>
      </c>
      <c r="B169" t="str">
        <f>VLOOKUP(Tb_prod[[#This Row],[Región]],AUX_REGION[],2,0)</f>
        <v>Minera del Norte</v>
      </c>
      <c r="C169" t="s">
        <v>17</v>
      </c>
      <c r="D169" t="s">
        <v>18</v>
      </c>
      <c r="E169" t="s">
        <v>19</v>
      </c>
      <c r="F169" t="s">
        <v>15</v>
      </c>
      <c r="G169" t="s">
        <v>22</v>
      </c>
      <c r="H169" s="23">
        <v>5217.84</v>
      </c>
      <c r="I169" s="23">
        <v>1286.1400000000001</v>
      </c>
      <c r="J169" s="23">
        <v>45011.74</v>
      </c>
      <c r="K169" s="23">
        <v>1040.19</v>
      </c>
      <c r="L169" s="10">
        <v>15038432460</v>
      </c>
      <c r="M169" s="9">
        <v>125419969710</v>
      </c>
      <c r="N169" s="12">
        <f xml:space="preserve"> Tb_prod[[#This Row],[Costo_Mantenimiento_CLP]] / Tb_prod[[#This Row],[Dias_Operación_Mes]]</f>
        <v>601537298.39999998</v>
      </c>
      <c r="O169" s="11">
        <f>Tb_prod[[#This Row],[Costo_Operativo_CLP]] / Tb_prod[[#This Row],[Producción_Toneladas]]</f>
        <v>24036760.366358493</v>
      </c>
      <c r="P169">
        <v>168</v>
      </c>
      <c r="Q169">
        <v>25</v>
      </c>
      <c r="R169" s="6">
        <v>45393</v>
      </c>
      <c r="S169" t="str">
        <f t="shared" si="4"/>
        <v>jueves</v>
      </c>
      <c r="T169" t="str">
        <f t="shared" si="5"/>
        <v>abril</v>
      </c>
      <c r="U169">
        <v>88.28</v>
      </c>
      <c r="V169">
        <f xml:space="preserve"> Tb_prod[[#This Row],[Emisiones_CO2_ton]] / Tb_prod[[#This Row],[Cantidad_Empleados]]</f>
        <v>6.1916071428571433</v>
      </c>
      <c r="W169" t="str">
        <f>IF(Tb_prod[[#This Row],[Recuperación_Metal_Porcentaje]]&gt;90,"Alta",IF(Tb_prod[[#This Row],[Recuperación_Metal_Porcentaje]]&gt;75,"Media","Baja"))</f>
        <v>Media</v>
      </c>
      <c r="X169" t="str">
        <f>IF(AND(Tb_prod[[#This Row],[Consumo_Energia_MWh]]&lt;=2000,Tb_prod[[#This Row],[Riesgo_Ambiental]]="Alto"),"Crítica","Normal")</f>
        <v>Normal</v>
      </c>
    </row>
    <row r="170" spans="1:24">
      <c r="A170">
        <v>285</v>
      </c>
      <c r="B170" t="str">
        <f>VLOOKUP(Tb_prod[[#This Row],[Región]],AUX_REGION[],2,0)</f>
        <v>Minera Romero</v>
      </c>
      <c r="C170" t="s">
        <v>27</v>
      </c>
      <c r="D170" t="s">
        <v>23</v>
      </c>
      <c r="E170" t="s">
        <v>19</v>
      </c>
      <c r="F170" t="s">
        <v>24</v>
      </c>
      <c r="G170" t="s">
        <v>22</v>
      </c>
      <c r="H170" s="23">
        <v>6123.95</v>
      </c>
      <c r="I170" s="23">
        <v>1585.21</v>
      </c>
      <c r="J170" s="23">
        <v>45107.87</v>
      </c>
      <c r="K170" s="23">
        <v>1159.06</v>
      </c>
      <c r="L170" s="10">
        <v>44602336620</v>
      </c>
      <c r="M170" s="9">
        <v>179361373590</v>
      </c>
      <c r="N170" s="12">
        <f xml:space="preserve"> Tb_prod[[#This Row],[Costo_Mantenimiento_CLP]] / Tb_prod[[#This Row],[Dias_Operación_Mes]]</f>
        <v>1651938393.3333333</v>
      </c>
      <c r="O170" s="11">
        <f>Tb_prod[[#This Row],[Costo_Operativo_CLP]] / Tb_prod[[#This Row],[Producción_Toneladas]]</f>
        <v>29288510.453220554</v>
      </c>
      <c r="P170">
        <v>145</v>
      </c>
      <c r="Q170">
        <v>27</v>
      </c>
      <c r="R170" s="6">
        <v>45390</v>
      </c>
      <c r="S170" t="str">
        <f t="shared" si="4"/>
        <v>lunes</v>
      </c>
      <c r="T170" t="str">
        <f t="shared" si="5"/>
        <v>abril</v>
      </c>
      <c r="U170">
        <v>95.44</v>
      </c>
      <c r="V170">
        <f xml:space="preserve"> Tb_prod[[#This Row],[Emisiones_CO2_ton]] / Tb_prod[[#This Row],[Cantidad_Empleados]]</f>
        <v>7.9935172413793101</v>
      </c>
      <c r="W170" t="str">
        <f>IF(Tb_prod[[#This Row],[Recuperación_Metal_Porcentaje]]&gt;90,"Alta",IF(Tb_prod[[#This Row],[Recuperación_Metal_Porcentaje]]&gt;75,"Media","Baja"))</f>
        <v>Alta</v>
      </c>
      <c r="X170" t="str">
        <f>IF(AND(Tb_prod[[#This Row],[Consumo_Energia_MWh]]&lt;=2000,Tb_prod[[#This Row],[Riesgo_Ambiental]]="Alto"),"Crítica","Normal")</f>
        <v>Normal</v>
      </c>
    </row>
    <row r="171" spans="1:24">
      <c r="A171">
        <v>394</v>
      </c>
      <c r="B171" t="str">
        <f>VLOOKUP(Tb_prod[[#This Row],[Región]],AUX_REGION[],2,0)</f>
        <v>Minera Romero</v>
      </c>
      <c r="C171" t="s">
        <v>27</v>
      </c>
      <c r="D171" t="s">
        <v>23</v>
      </c>
      <c r="E171" t="s">
        <v>19</v>
      </c>
      <c r="F171" t="s">
        <v>15</v>
      </c>
      <c r="G171" t="s">
        <v>22</v>
      </c>
      <c r="H171" s="23">
        <v>7430.64</v>
      </c>
      <c r="I171" s="23">
        <v>2053.8000000000002</v>
      </c>
      <c r="J171" s="23">
        <v>45158.32</v>
      </c>
      <c r="K171" s="23">
        <v>1034.3</v>
      </c>
      <c r="L171" s="10">
        <v>25475749920</v>
      </c>
      <c r="M171" s="9">
        <v>1325875420380</v>
      </c>
      <c r="N171" s="12">
        <f xml:space="preserve"> Tb_prod[[#This Row],[Costo_Mantenimiento_CLP]] / Tb_prod[[#This Row],[Dias_Operación_Mes]]</f>
        <v>1213130948.5714285</v>
      </c>
      <c r="O171" s="11">
        <f>Tb_prod[[#This Row],[Costo_Operativo_CLP]] / Tb_prod[[#This Row],[Producción_Toneladas]]</f>
        <v>178433542.78770065</v>
      </c>
      <c r="P171">
        <v>164</v>
      </c>
      <c r="Q171">
        <v>21</v>
      </c>
      <c r="R171" s="6">
        <v>45324</v>
      </c>
      <c r="S171" t="str">
        <f t="shared" si="4"/>
        <v>viernes</v>
      </c>
      <c r="T171" t="str">
        <f t="shared" si="5"/>
        <v>febrero</v>
      </c>
      <c r="U171">
        <v>70.459999999999994</v>
      </c>
      <c r="V171">
        <f xml:space="preserve"> Tb_prod[[#This Row],[Emisiones_CO2_ton]] / Tb_prod[[#This Row],[Cantidad_Empleados]]</f>
        <v>6.3067073170731707</v>
      </c>
      <c r="W171" t="str">
        <f>IF(Tb_prod[[#This Row],[Recuperación_Metal_Porcentaje]]&gt;90,"Alta",IF(Tb_prod[[#This Row],[Recuperación_Metal_Porcentaje]]&gt;75,"Media","Baja"))</f>
        <v>Baja</v>
      </c>
      <c r="X171" t="str">
        <f>IF(AND(Tb_prod[[#This Row],[Consumo_Energia_MWh]]&lt;=2000,Tb_prod[[#This Row],[Riesgo_Ambiental]]="Alto"),"Crítica","Normal")</f>
        <v>Normal</v>
      </c>
    </row>
    <row r="172" spans="1:24">
      <c r="A172">
        <v>145</v>
      </c>
      <c r="B172" t="str">
        <f>VLOOKUP(Tb_prod[[#This Row],[Región]],AUX_REGION[],2,0)</f>
        <v>Minera Romero</v>
      </c>
      <c r="C172" t="s">
        <v>12</v>
      </c>
      <c r="D172" t="s">
        <v>23</v>
      </c>
      <c r="E172" t="s">
        <v>19</v>
      </c>
      <c r="F172" t="s">
        <v>26</v>
      </c>
      <c r="G172" t="s">
        <v>16</v>
      </c>
      <c r="H172" s="23">
        <v>4930.37</v>
      </c>
      <c r="I172" s="23">
        <v>1633.47</v>
      </c>
      <c r="J172" s="23">
        <v>45219.96</v>
      </c>
      <c r="K172" s="23">
        <v>505.66</v>
      </c>
      <c r="L172" s="10">
        <v>33990113970</v>
      </c>
      <c r="M172" s="9">
        <v>1088657312580</v>
      </c>
      <c r="N172" s="12">
        <f xml:space="preserve"> Tb_prod[[#This Row],[Costo_Mantenimiento_CLP]] / Tb_prod[[#This Row],[Dias_Operación_Mes]]</f>
        <v>1258893110</v>
      </c>
      <c r="O172" s="11">
        <f>Tb_prod[[#This Row],[Costo_Operativo_CLP]] / Tb_prod[[#This Row],[Producción_Toneladas]]</f>
        <v>220806412.61811996</v>
      </c>
      <c r="P172">
        <v>131</v>
      </c>
      <c r="Q172">
        <v>27</v>
      </c>
      <c r="R172" s="6">
        <v>44928</v>
      </c>
      <c r="S172" t="str">
        <f t="shared" si="4"/>
        <v>lunes</v>
      </c>
      <c r="T172" t="str">
        <f t="shared" si="5"/>
        <v>enero</v>
      </c>
      <c r="U172">
        <v>93.22</v>
      </c>
      <c r="V172">
        <f xml:space="preserve"> Tb_prod[[#This Row],[Emisiones_CO2_ton]] / Tb_prod[[#This Row],[Cantidad_Empleados]]</f>
        <v>3.8600000000000003</v>
      </c>
      <c r="W172" t="str">
        <f>IF(Tb_prod[[#This Row],[Recuperación_Metal_Porcentaje]]&gt;90,"Alta",IF(Tb_prod[[#This Row],[Recuperación_Metal_Porcentaje]]&gt;75,"Media","Baja"))</f>
        <v>Alta</v>
      </c>
      <c r="X172" t="str">
        <f>IF(AND(Tb_prod[[#This Row],[Consumo_Energia_MWh]]&lt;=2000,Tb_prod[[#This Row],[Riesgo_Ambiental]]="Alto"),"Crítica","Normal")</f>
        <v>Normal</v>
      </c>
    </row>
    <row r="173" spans="1:24">
      <c r="A173">
        <v>195</v>
      </c>
      <c r="B173" t="str">
        <f>VLOOKUP(Tb_prod[[#This Row],[Región]],AUX_REGION[],2,0)</f>
        <v>Minera del Norte</v>
      </c>
      <c r="C173" t="s">
        <v>12</v>
      </c>
      <c r="D173" t="s">
        <v>18</v>
      </c>
      <c r="E173" t="s">
        <v>19</v>
      </c>
      <c r="F173" t="s">
        <v>15</v>
      </c>
      <c r="G173" t="s">
        <v>22</v>
      </c>
      <c r="H173" s="23">
        <v>7457.17</v>
      </c>
      <c r="I173" s="23">
        <v>1991.97</v>
      </c>
      <c r="J173" s="23">
        <v>45289.74</v>
      </c>
      <c r="K173" s="23">
        <v>821.08</v>
      </c>
      <c r="L173" s="10">
        <v>26313102450</v>
      </c>
      <c r="M173" s="9">
        <v>105629758560</v>
      </c>
      <c r="N173" s="12">
        <f xml:space="preserve"> Tb_prod[[#This Row],[Costo_Mantenimiento_CLP]] / Tb_prod[[#This Row],[Dias_Operación_Mes]]</f>
        <v>907348360.34482753</v>
      </c>
      <c r="O173" s="11">
        <f>Tb_prod[[#This Row],[Costo_Operativo_CLP]] / Tb_prod[[#This Row],[Producción_Toneladas]]</f>
        <v>14164858.593809716</v>
      </c>
      <c r="P173">
        <v>102</v>
      </c>
      <c r="Q173">
        <v>29</v>
      </c>
      <c r="R173" s="6">
        <v>45742</v>
      </c>
      <c r="S173" t="str">
        <f t="shared" si="4"/>
        <v>miércoles</v>
      </c>
      <c r="T173" t="str">
        <f t="shared" si="5"/>
        <v>marzo</v>
      </c>
      <c r="U173">
        <v>70.42</v>
      </c>
      <c r="V173">
        <f xml:space="preserve"> Tb_prod[[#This Row],[Emisiones_CO2_ton]] / Tb_prod[[#This Row],[Cantidad_Empleados]]</f>
        <v>8.0498039215686283</v>
      </c>
      <c r="W173" t="str">
        <f>IF(Tb_prod[[#This Row],[Recuperación_Metal_Porcentaje]]&gt;90,"Alta",IF(Tb_prod[[#This Row],[Recuperación_Metal_Porcentaje]]&gt;75,"Media","Baja"))</f>
        <v>Baja</v>
      </c>
      <c r="X173" t="str">
        <f>IF(AND(Tb_prod[[#This Row],[Consumo_Energia_MWh]]&lt;=2000,Tb_prod[[#This Row],[Riesgo_Ambiental]]="Alto"),"Crítica","Normal")</f>
        <v>Normal</v>
      </c>
    </row>
    <row r="174" spans="1:24">
      <c r="A174">
        <v>476</v>
      </c>
      <c r="B174" t="str">
        <f>VLOOKUP(Tb_prod[[#This Row],[Región]],AUX_REGION[],2,0)</f>
        <v>Minera Staff</v>
      </c>
      <c r="C174" t="s">
        <v>17</v>
      </c>
      <c r="D174" t="s">
        <v>13</v>
      </c>
      <c r="E174" t="s">
        <v>14</v>
      </c>
      <c r="F174" t="s">
        <v>15</v>
      </c>
      <c r="G174" t="s">
        <v>16</v>
      </c>
      <c r="H174" s="23">
        <v>4589.8</v>
      </c>
      <c r="I174" s="23">
        <v>1468.45</v>
      </c>
      <c r="J174" s="23">
        <v>45310.9</v>
      </c>
      <c r="K174" s="23">
        <v>1670.89</v>
      </c>
      <c r="L174" s="10">
        <v>25543497870</v>
      </c>
      <c r="M174" s="9">
        <v>61620600690</v>
      </c>
      <c r="N174" s="12">
        <f xml:space="preserve"> Tb_prod[[#This Row],[Costo_Mantenimiento_CLP]] / Tb_prod[[#This Row],[Dias_Operación_Mes]]</f>
        <v>946055476.66666663</v>
      </c>
      <c r="O174" s="11">
        <f>Tb_prod[[#This Row],[Costo_Operativo_CLP]] / Tb_prod[[#This Row],[Producción_Toneladas]]</f>
        <v>13425552.461980913</v>
      </c>
      <c r="P174">
        <v>211</v>
      </c>
      <c r="Q174">
        <v>27</v>
      </c>
      <c r="R174" s="6">
        <v>45313</v>
      </c>
      <c r="S174" t="str">
        <f t="shared" si="4"/>
        <v>lunes</v>
      </c>
      <c r="T174" t="str">
        <f t="shared" si="5"/>
        <v>enero</v>
      </c>
      <c r="U174">
        <v>79.89</v>
      </c>
      <c r="V174">
        <f xml:space="preserve"> Tb_prod[[#This Row],[Emisiones_CO2_ton]] / Tb_prod[[#This Row],[Cantidad_Empleados]]</f>
        <v>7.9189099526066355</v>
      </c>
      <c r="W174" t="str">
        <f>IF(Tb_prod[[#This Row],[Recuperación_Metal_Porcentaje]]&gt;90,"Alta",IF(Tb_prod[[#This Row],[Recuperación_Metal_Porcentaje]]&gt;75,"Media","Baja"))</f>
        <v>Media</v>
      </c>
      <c r="X174" t="str">
        <f>IF(AND(Tb_prod[[#This Row],[Consumo_Energia_MWh]]&lt;=2000,Tb_prod[[#This Row],[Riesgo_Ambiental]]="Alto"),"Crítica","Normal")</f>
        <v>Normal</v>
      </c>
    </row>
    <row r="175" spans="1:24">
      <c r="A175">
        <v>148</v>
      </c>
      <c r="B175" t="str">
        <f>VLOOKUP(Tb_prod[[#This Row],[Región]],AUX_REGION[],2,0)</f>
        <v>Minera del Norte</v>
      </c>
      <c r="C175" t="s">
        <v>21</v>
      </c>
      <c r="D175" t="s">
        <v>18</v>
      </c>
      <c r="E175" t="s">
        <v>19</v>
      </c>
      <c r="F175" t="s">
        <v>26</v>
      </c>
      <c r="G175" t="s">
        <v>20</v>
      </c>
      <c r="H175" s="23">
        <v>6661.08</v>
      </c>
      <c r="I175" s="23">
        <v>678.1</v>
      </c>
      <c r="J175" s="23">
        <v>45375.41</v>
      </c>
      <c r="K175" s="23">
        <v>697.91</v>
      </c>
      <c r="L175" s="10">
        <v>21916648530</v>
      </c>
      <c r="M175" s="9">
        <v>11067326010</v>
      </c>
      <c r="N175" s="12">
        <f xml:space="preserve"> Tb_prod[[#This Row],[Costo_Mantenimiento_CLP]] / Tb_prod[[#This Row],[Dias_Operación_Mes]]</f>
        <v>755746501.03448272</v>
      </c>
      <c r="O175" s="11">
        <f>Tb_prod[[#This Row],[Costo_Operativo_CLP]] / Tb_prod[[#This Row],[Producción_Toneladas]]</f>
        <v>1661491.2311517051</v>
      </c>
      <c r="P175">
        <v>250</v>
      </c>
      <c r="Q175">
        <v>29</v>
      </c>
      <c r="R175" s="6">
        <v>45781</v>
      </c>
      <c r="S175" t="str">
        <f t="shared" si="4"/>
        <v>domingo</v>
      </c>
      <c r="T175" t="str">
        <f t="shared" si="5"/>
        <v>mayo</v>
      </c>
      <c r="U175">
        <v>71.209999999999994</v>
      </c>
      <c r="V175">
        <f xml:space="preserve"> Tb_prod[[#This Row],[Emisiones_CO2_ton]] / Tb_prod[[#This Row],[Cantidad_Empleados]]</f>
        <v>2.7916399999999997</v>
      </c>
      <c r="W175" t="str">
        <f>IF(Tb_prod[[#This Row],[Recuperación_Metal_Porcentaje]]&gt;90,"Alta",IF(Tb_prod[[#This Row],[Recuperación_Metal_Porcentaje]]&gt;75,"Media","Baja"))</f>
        <v>Baja</v>
      </c>
      <c r="X175" t="str">
        <f>IF(AND(Tb_prod[[#This Row],[Consumo_Energia_MWh]]&lt;=2000,Tb_prod[[#This Row],[Riesgo_Ambiental]]="Alto"),"Crítica","Normal")</f>
        <v>Crítica</v>
      </c>
    </row>
    <row r="176" spans="1:24">
      <c r="A176">
        <v>27</v>
      </c>
      <c r="B176" t="str">
        <f>VLOOKUP(Tb_prod[[#This Row],[Región]],AUX_REGION[],2,0)</f>
        <v>Minera Romero</v>
      </c>
      <c r="C176" t="s">
        <v>21</v>
      </c>
      <c r="D176" t="s">
        <v>23</v>
      </c>
      <c r="E176" t="s">
        <v>19</v>
      </c>
      <c r="F176" t="s">
        <v>15</v>
      </c>
      <c r="G176" t="s">
        <v>22</v>
      </c>
      <c r="H176" s="23">
        <v>4575.03</v>
      </c>
      <c r="I176" s="23">
        <v>2786.04</v>
      </c>
      <c r="J176" s="23">
        <v>45406.7</v>
      </c>
      <c r="K176" s="23">
        <v>893.95</v>
      </c>
      <c r="L176" s="10">
        <v>6544361880</v>
      </c>
      <c r="M176" s="9">
        <v>53757409860</v>
      </c>
      <c r="N176" s="12">
        <f xml:space="preserve"> Tb_prod[[#This Row],[Costo_Mantenimiento_CLP]] / Tb_prod[[#This Row],[Dias_Operación_Mes]]</f>
        <v>242383773.33333334</v>
      </c>
      <c r="O176" s="11">
        <f>Tb_prod[[#This Row],[Costo_Operativo_CLP]] / Tb_prod[[#This Row],[Producción_Toneladas]]</f>
        <v>11750176.470973961</v>
      </c>
      <c r="P176">
        <v>147</v>
      </c>
      <c r="Q176">
        <v>27</v>
      </c>
      <c r="R176" s="6">
        <v>45073</v>
      </c>
      <c r="S176" t="str">
        <f t="shared" si="4"/>
        <v>sábado</v>
      </c>
      <c r="T176" t="str">
        <f t="shared" si="5"/>
        <v>mayo</v>
      </c>
      <c r="U176">
        <v>77.069999999999993</v>
      </c>
      <c r="V176">
        <f xml:space="preserve"> Tb_prod[[#This Row],[Emisiones_CO2_ton]] / Tb_prod[[#This Row],[Cantidad_Empleados]]</f>
        <v>6.0812925170068031</v>
      </c>
      <c r="W176" t="str">
        <f>IF(Tb_prod[[#This Row],[Recuperación_Metal_Porcentaje]]&gt;90,"Alta",IF(Tb_prod[[#This Row],[Recuperación_Metal_Porcentaje]]&gt;75,"Media","Baja"))</f>
        <v>Media</v>
      </c>
      <c r="X176" t="str">
        <f>IF(AND(Tb_prod[[#This Row],[Consumo_Energia_MWh]]&lt;=2000,Tb_prod[[#This Row],[Riesgo_Ambiental]]="Alto"),"Crítica","Normal")</f>
        <v>Normal</v>
      </c>
    </row>
    <row r="177" spans="1:24">
      <c r="A177">
        <v>56</v>
      </c>
      <c r="B177" t="str">
        <f>VLOOKUP(Tb_prod[[#This Row],[Región]],AUX_REGION[],2,0)</f>
        <v>Minera Romero</v>
      </c>
      <c r="C177" t="s">
        <v>27</v>
      </c>
      <c r="D177" t="s">
        <v>23</v>
      </c>
      <c r="E177" t="s">
        <v>14</v>
      </c>
      <c r="F177" t="s">
        <v>15</v>
      </c>
      <c r="G177" t="s">
        <v>22</v>
      </c>
      <c r="H177" s="23">
        <v>5727.76</v>
      </c>
      <c r="I177" s="23">
        <v>1930.63</v>
      </c>
      <c r="J177" s="23">
        <v>45529.17</v>
      </c>
      <c r="K177" s="23">
        <v>1562.85</v>
      </c>
      <c r="L177" s="10">
        <v>22930165530</v>
      </c>
      <c r="M177" s="9">
        <v>377002989180</v>
      </c>
      <c r="N177" s="12">
        <f xml:space="preserve"> Tb_prod[[#This Row],[Costo_Mantenimiento_CLP]] / Tb_prod[[#This Row],[Dias_Operación_Mes]]</f>
        <v>917206621.20000005</v>
      </c>
      <c r="O177" s="11">
        <f>Tb_prod[[#This Row],[Costo_Operativo_CLP]] / Tb_prod[[#This Row],[Producción_Toneladas]]</f>
        <v>65820318.794781901</v>
      </c>
      <c r="P177">
        <v>241</v>
      </c>
      <c r="Q177">
        <v>25</v>
      </c>
      <c r="R177" s="6">
        <v>45128</v>
      </c>
      <c r="S177" t="str">
        <f t="shared" si="4"/>
        <v>viernes</v>
      </c>
      <c r="T177" t="str">
        <f t="shared" si="5"/>
        <v>julio</v>
      </c>
      <c r="U177">
        <v>75.010000000000005</v>
      </c>
      <c r="V177">
        <f xml:space="preserve"> Tb_prod[[#This Row],[Emisiones_CO2_ton]] / Tb_prod[[#This Row],[Cantidad_Empleados]]</f>
        <v>6.4848547717842324</v>
      </c>
      <c r="W177" t="str">
        <f>IF(Tb_prod[[#This Row],[Recuperación_Metal_Porcentaje]]&gt;90,"Alta",IF(Tb_prod[[#This Row],[Recuperación_Metal_Porcentaje]]&gt;75,"Media","Baja"))</f>
        <v>Media</v>
      </c>
      <c r="X177" t="str">
        <f>IF(AND(Tb_prod[[#This Row],[Consumo_Energia_MWh]]&lt;=2000,Tb_prod[[#This Row],[Riesgo_Ambiental]]="Alto"),"Crítica","Normal")</f>
        <v>Normal</v>
      </c>
    </row>
    <row r="178" spans="1:24">
      <c r="A178">
        <v>254</v>
      </c>
      <c r="B178" t="str">
        <f>VLOOKUP(Tb_prod[[#This Row],[Región]],AUX_REGION[],2,0)</f>
        <v>Minera Staff</v>
      </c>
      <c r="C178" t="s">
        <v>21</v>
      </c>
      <c r="D178" t="s">
        <v>13</v>
      </c>
      <c r="E178" t="s">
        <v>14</v>
      </c>
      <c r="F178" t="s">
        <v>15</v>
      </c>
      <c r="G178" t="s">
        <v>22</v>
      </c>
      <c r="H178" s="23">
        <v>6564.15</v>
      </c>
      <c r="I178" s="23">
        <v>2231.5300000000002</v>
      </c>
      <c r="J178" s="23">
        <v>45558.63</v>
      </c>
      <c r="K178" s="23">
        <v>874.99</v>
      </c>
      <c r="L178" s="10">
        <v>20918732850</v>
      </c>
      <c r="M178" s="9">
        <v>29020374270</v>
      </c>
      <c r="N178" s="12">
        <f xml:space="preserve"> Tb_prod[[#This Row],[Costo_Mantenimiento_CLP]] / Tb_prod[[#This Row],[Dias_Operación_Mes]]</f>
        <v>804566648.07692313</v>
      </c>
      <c r="O178" s="11">
        <f>Tb_prod[[#This Row],[Costo_Operativo_CLP]] / Tb_prod[[#This Row],[Producción_Toneladas]]</f>
        <v>4421040.693768424</v>
      </c>
      <c r="P178">
        <v>66</v>
      </c>
      <c r="Q178">
        <v>26</v>
      </c>
      <c r="R178" s="6">
        <v>45919</v>
      </c>
      <c r="S178" t="str">
        <f t="shared" si="4"/>
        <v>viernes</v>
      </c>
      <c r="T178" t="str">
        <f t="shared" si="5"/>
        <v>septiembre</v>
      </c>
      <c r="U178">
        <v>94.74</v>
      </c>
      <c r="V178">
        <f xml:space="preserve"> Tb_prod[[#This Row],[Emisiones_CO2_ton]] / Tb_prod[[#This Row],[Cantidad_Empleados]]</f>
        <v>13.257424242424243</v>
      </c>
      <c r="W178" t="str">
        <f>IF(Tb_prod[[#This Row],[Recuperación_Metal_Porcentaje]]&gt;90,"Alta",IF(Tb_prod[[#This Row],[Recuperación_Metal_Porcentaje]]&gt;75,"Media","Baja"))</f>
        <v>Alta</v>
      </c>
      <c r="X178" t="str">
        <f>IF(AND(Tb_prod[[#This Row],[Consumo_Energia_MWh]]&lt;=2000,Tb_prod[[#This Row],[Riesgo_Ambiental]]="Alto"),"Crítica","Normal")</f>
        <v>Normal</v>
      </c>
    </row>
    <row r="179" spans="1:24">
      <c r="A179">
        <v>126</v>
      </c>
      <c r="B179" t="str">
        <f>VLOOKUP(Tb_prod[[#This Row],[Región]],AUX_REGION[],2,0)</f>
        <v>Minera del Norte</v>
      </c>
      <c r="C179" t="s">
        <v>12</v>
      </c>
      <c r="D179" t="s">
        <v>18</v>
      </c>
      <c r="E179" t="s">
        <v>19</v>
      </c>
      <c r="F179" t="s">
        <v>15</v>
      </c>
      <c r="G179" t="s">
        <v>20</v>
      </c>
      <c r="H179" s="23">
        <v>5820.17</v>
      </c>
      <c r="I179" s="23">
        <v>1899.97</v>
      </c>
      <c r="J179" s="23">
        <v>45566.82</v>
      </c>
      <c r="K179" s="23">
        <v>1035.77</v>
      </c>
      <c r="L179" s="10">
        <v>1367006338738.8899</v>
      </c>
      <c r="M179" s="9">
        <v>88406019720</v>
      </c>
      <c r="N179" s="12">
        <f xml:space="preserve"> Tb_prod[[#This Row],[Costo_Mantenimiento_CLP]] / Tb_prod[[#This Row],[Dias_Operación_Mes]]</f>
        <v>62136651760.858635</v>
      </c>
      <c r="O179" s="11">
        <f>Tb_prod[[#This Row],[Costo_Operativo_CLP]] / Tb_prod[[#This Row],[Producción_Toneladas]]</f>
        <v>15189594.070276298</v>
      </c>
      <c r="P179">
        <v>253</v>
      </c>
      <c r="Q179">
        <v>22</v>
      </c>
      <c r="R179" s="6">
        <v>45483</v>
      </c>
      <c r="S179" t="str">
        <f t="shared" si="4"/>
        <v>miércoles</v>
      </c>
      <c r="T179" t="str">
        <f t="shared" si="5"/>
        <v>julio</v>
      </c>
      <c r="U179">
        <v>80.400000000000006</v>
      </c>
      <c r="V179">
        <f xml:space="preserve"> Tb_prod[[#This Row],[Emisiones_CO2_ton]] / Tb_prod[[#This Row],[Cantidad_Empleados]]</f>
        <v>4.0939525691699608</v>
      </c>
      <c r="W179" t="str">
        <f>IF(Tb_prod[[#This Row],[Recuperación_Metal_Porcentaje]]&gt;90,"Alta",IF(Tb_prod[[#This Row],[Recuperación_Metal_Porcentaje]]&gt;75,"Media","Baja"))</f>
        <v>Media</v>
      </c>
      <c r="X179" t="str">
        <f>IF(AND(Tb_prod[[#This Row],[Consumo_Energia_MWh]]&lt;=2000,Tb_prod[[#This Row],[Riesgo_Ambiental]]="Alto"),"Crítica","Normal")</f>
        <v>Crítica</v>
      </c>
    </row>
    <row r="180" spans="1:24">
      <c r="A180">
        <v>82</v>
      </c>
      <c r="B180" t="str">
        <f>VLOOKUP(Tb_prod[[#This Row],[Región]],AUX_REGION[],2,0)</f>
        <v>Minera Romero</v>
      </c>
      <c r="C180" t="s">
        <v>27</v>
      </c>
      <c r="D180" t="s">
        <v>23</v>
      </c>
      <c r="E180" t="s">
        <v>14</v>
      </c>
      <c r="F180" t="s">
        <v>15</v>
      </c>
      <c r="G180" t="s">
        <v>22</v>
      </c>
      <c r="H180" s="23">
        <v>4587.3100000000004</v>
      </c>
      <c r="I180" s="23">
        <v>2912.8</v>
      </c>
      <c r="J180" s="23">
        <v>45671.75</v>
      </c>
      <c r="K180" s="23">
        <v>831.72</v>
      </c>
      <c r="L180" s="10">
        <v>37268891550</v>
      </c>
      <c r="M180" s="9">
        <v>132875394840</v>
      </c>
      <c r="N180" s="12">
        <f xml:space="preserve"> Tb_prod[[#This Row],[Costo_Mantenimiento_CLP]] / Tb_prod[[#This Row],[Dias_Operación_Mes]]</f>
        <v>1694040525</v>
      </c>
      <c r="O180" s="11">
        <f>Tb_prod[[#This Row],[Costo_Operativo_CLP]] / Tb_prod[[#This Row],[Producción_Toneladas]]</f>
        <v>28965863.401426978</v>
      </c>
      <c r="P180">
        <v>169</v>
      </c>
      <c r="Q180">
        <v>22</v>
      </c>
      <c r="R180" s="6">
        <v>45676</v>
      </c>
      <c r="S180" t="str">
        <f t="shared" si="4"/>
        <v>domingo</v>
      </c>
      <c r="T180" t="str">
        <f t="shared" si="5"/>
        <v>enero</v>
      </c>
      <c r="U180">
        <v>86.77</v>
      </c>
      <c r="V180">
        <f xml:space="preserve"> Tb_prod[[#This Row],[Emisiones_CO2_ton]] / Tb_prod[[#This Row],[Cantidad_Empleados]]</f>
        <v>4.9214201183431951</v>
      </c>
      <c r="W180" t="str">
        <f>IF(Tb_prod[[#This Row],[Recuperación_Metal_Porcentaje]]&gt;90,"Alta",IF(Tb_prod[[#This Row],[Recuperación_Metal_Porcentaje]]&gt;75,"Media","Baja"))</f>
        <v>Media</v>
      </c>
      <c r="X180" t="str">
        <f>IF(AND(Tb_prod[[#This Row],[Consumo_Energia_MWh]]&lt;=2000,Tb_prod[[#This Row],[Riesgo_Ambiental]]="Alto"),"Crítica","Normal")</f>
        <v>Normal</v>
      </c>
    </row>
    <row r="181" spans="1:24">
      <c r="A181">
        <v>189</v>
      </c>
      <c r="B181" t="str">
        <f>VLOOKUP(Tb_prod[[#This Row],[Región]],AUX_REGION[],2,0)</f>
        <v>Minera Romero</v>
      </c>
      <c r="C181" t="s">
        <v>27</v>
      </c>
      <c r="D181" t="s">
        <v>23</v>
      </c>
      <c r="E181" t="s">
        <v>14</v>
      </c>
      <c r="F181" t="s">
        <v>15</v>
      </c>
      <c r="G181" t="s">
        <v>16</v>
      </c>
      <c r="H181" s="23">
        <v>4371.62</v>
      </c>
      <c r="I181" s="23">
        <v>2176.71</v>
      </c>
      <c r="J181" s="23">
        <v>45679.62</v>
      </c>
      <c r="K181" s="23">
        <v>1099.0899999999999</v>
      </c>
      <c r="L181" s="10">
        <v>1404285164938.8899</v>
      </c>
      <c r="M181" s="9">
        <v>52999466130</v>
      </c>
      <c r="N181" s="12">
        <f xml:space="preserve"> Tb_prod[[#This Row],[Costo_Mantenimiento_CLP]] / Tb_prod[[#This Row],[Dias_Operación_Mes]]</f>
        <v>48423626377.203102</v>
      </c>
      <c r="O181" s="11">
        <f>Tb_prod[[#This Row],[Costo_Operativo_CLP]] / Tb_prod[[#This Row],[Producción_Toneladas]]</f>
        <v>12123529.979732914</v>
      </c>
      <c r="P181">
        <v>236</v>
      </c>
      <c r="Q181">
        <v>29</v>
      </c>
      <c r="R181" s="6">
        <v>45823</v>
      </c>
      <c r="S181" t="str">
        <f t="shared" si="4"/>
        <v>domingo</v>
      </c>
      <c r="T181" t="str">
        <f t="shared" si="5"/>
        <v>junio</v>
      </c>
      <c r="U181">
        <v>81.59</v>
      </c>
      <c r="V181">
        <f xml:space="preserve"> Tb_prod[[#This Row],[Emisiones_CO2_ton]] / Tb_prod[[#This Row],[Cantidad_Empleados]]</f>
        <v>4.6571610169491526</v>
      </c>
      <c r="W181" t="str">
        <f>IF(Tb_prod[[#This Row],[Recuperación_Metal_Porcentaje]]&gt;90,"Alta",IF(Tb_prod[[#This Row],[Recuperación_Metal_Porcentaje]]&gt;75,"Media","Baja"))</f>
        <v>Media</v>
      </c>
      <c r="X181" t="str">
        <f>IF(AND(Tb_prod[[#This Row],[Consumo_Energia_MWh]]&lt;=2000,Tb_prod[[#This Row],[Riesgo_Ambiental]]="Alto"),"Crítica","Normal")</f>
        <v>Normal</v>
      </c>
    </row>
    <row r="182" spans="1:24">
      <c r="A182">
        <v>211</v>
      </c>
      <c r="B182" t="str">
        <f>VLOOKUP(Tb_prod[[#This Row],[Región]],AUX_REGION[],2,0)</f>
        <v>Minera Staff</v>
      </c>
      <c r="C182" t="s">
        <v>21</v>
      </c>
      <c r="D182" t="s">
        <v>13</v>
      </c>
      <c r="E182" t="s">
        <v>14</v>
      </c>
      <c r="F182" t="s">
        <v>15</v>
      </c>
      <c r="G182" t="s">
        <v>22</v>
      </c>
      <c r="H182" s="23">
        <v>5387</v>
      </c>
      <c r="I182" s="23">
        <v>1786.81</v>
      </c>
      <c r="J182" s="23">
        <v>45714.71</v>
      </c>
      <c r="K182" s="23">
        <v>500.62</v>
      </c>
      <c r="L182" s="10">
        <v>69950446946856.297</v>
      </c>
      <c r="M182" s="9">
        <v>117077352120</v>
      </c>
      <c r="N182" s="12">
        <f xml:space="preserve"> Tb_prod[[#This Row],[Costo_Mantenimiento_CLP]] / Tb_prod[[#This Row],[Dias_Operación_Mes]]</f>
        <v>3041323780298.1001</v>
      </c>
      <c r="O182" s="11">
        <f>Tb_prod[[#This Row],[Costo_Operativo_CLP]] / Tb_prod[[#This Row],[Producción_Toneladas]]</f>
        <v>21733312.069797661</v>
      </c>
      <c r="P182">
        <v>234</v>
      </c>
      <c r="Q182">
        <v>23</v>
      </c>
      <c r="R182" s="6">
        <v>45883</v>
      </c>
      <c r="S182" t="str">
        <f t="shared" si="4"/>
        <v>jueves</v>
      </c>
      <c r="T182" t="str">
        <f t="shared" si="5"/>
        <v>agosto</v>
      </c>
      <c r="U182">
        <v>76.180000000000007</v>
      </c>
      <c r="V182">
        <f xml:space="preserve"> Tb_prod[[#This Row],[Emisiones_CO2_ton]] / Tb_prod[[#This Row],[Cantidad_Empleados]]</f>
        <v>2.1394017094017093</v>
      </c>
      <c r="W182" t="str">
        <f>IF(Tb_prod[[#This Row],[Recuperación_Metal_Porcentaje]]&gt;90,"Alta",IF(Tb_prod[[#This Row],[Recuperación_Metal_Porcentaje]]&gt;75,"Media","Baja"))</f>
        <v>Media</v>
      </c>
      <c r="X182" t="str">
        <f>IF(AND(Tb_prod[[#This Row],[Consumo_Energia_MWh]]&lt;=2000,Tb_prod[[#This Row],[Riesgo_Ambiental]]="Alto"),"Crítica","Normal")</f>
        <v>Normal</v>
      </c>
    </row>
    <row r="183" spans="1:24">
      <c r="A183">
        <v>210</v>
      </c>
      <c r="B183" t="str">
        <f>VLOOKUP(Tb_prod[[#This Row],[Región]],AUX_REGION[],2,0)</f>
        <v>Minera del Norte</v>
      </c>
      <c r="C183" t="s">
        <v>12</v>
      </c>
      <c r="D183" t="s">
        <v>18</v>
      </c>
      <c r="E183" t="s">
        <v>19</v>
      </c>
      <c r="F183" t="s">
        <v>24</v>
      </c>
      <c r="G183" t="s">
        <v>22</v>
      </c>
      <c r="H183" s="23">
        <v>6912.02</v>
      </c>
      <c r="I183" s="23">
        <v>2461.7199999999998</v>
      </c>
      <c r="J183" s="23">
        <v>45770.66</v>
      </c>
      <c r="K183" s="23">
        <v>1128.1300000000001</v>
      </c>
      <c r="L183" s="10">
        <v>4429770660</v>
      </c>
      <c r="M183" s="9">
        <v>45577799280</v>
      </c>
      <c r="N183" s="12">
        <f xml:space="preserve"> Tb_prod[[#This Row],[Costo_Mantenimiento_CLP]] / Tb_prod[[#This Row],[Dias_Operación_Mes]]</f>
        <v>221488533</v>
      </c>
      <c r="O183" s="11">
        <f>Tb_prod[[#This Row],[Costo_Operativo_CLP]] / Tb_prod[[#This Row],[Producción_Toneladas]]</f>
        <v>6593991.2326642573</v>
      </c>
      <c r="P183">
        <v>111</v>
      </c>
      <c r="Q183">
        <v>20</v>
      </c>
      <c r="R183" s="6">
        <v>45451</v>
      </c>
      <c r="S183" t="str">
        <f t="shared" si="4"/>
        <v>sábado</v>
      </c>
      <c r="T183" t="str">
        <f t="shared" si="5"/>
        <v>junio</v>
      </c>
      <c r="U183">
        <v>94.94</v>
      </c>
      <c r="V183">
        <f xml:space="preserve"> Tb_prod[[#This Row],[Emisiones_CO2_ton]] / Tb_prod[[#This Row],[Cantidad_Empleados]]</f>
        <v>10.163333333333334</v>
      </c>
      <c r="W183" t="str">
        <f>IF(Tb_prod[[#This Row],[Recuperación_Metal_Porcentaje]]&gt;90,"Alta",IF(Tb_prod[[#This Row],[Recuperación_Metal_Porcentaje]]&gt;75,"Media","Baja"))</f>
        <v>Alta</v>
      </c>
      <c r="X183" t="str">
        <f>IF(AND(Tb_prod[[#This Row],[Consumo_Energia_MWh]]&lt;=2000,Tb_prod[[#This Row],[Riesgo_Ambiental]]="Alto"),"Crítica","Normal")</f>
        <v>Normal</v>
      </c>
    </row>
    <row r="184" spans="1:24">
      <c r="A184">
        <v>440</v>
      </c>
      <c r="B184" t="str">
        <f>VLOOKUP(Tb_prod[[#This Row],[Región]],AUX_REGION[],2,0)</f>
        <v>Minera Staff</v>
      </c>
      <c r="C184" t="s">
        <v>27</v>
      </c>
      <c r="D184" t="s">
        <v>13</v>
      </c>
      <c r="E184" t="s">
        <v>14</v>
      </c>
      <c r="F184" t="s">
        <v>24</v>
      </c>
      <c r="G184" t="s">
        <v>20</v>
      </c>
      <c r="H184" s="23">
        <v>6741.02</v>
      </c>
      <c r="I184" s="23">
        <v>2259.64</v>
      </c>
      <c r="J184" s="23">
        <v>45770.91</v>
      </c>
      <c r="K184" s="23">
        <v>1001.44</v>
      </c>
      <c r="L184" s="10">
        <v>1387340243938.8899</v>
      </c>
      <c r="M184" s="9">
        <v>121967882730</v>
      </c>
      <c r="N184" s="12">
        <f xml:space="preserve"> Tb_prod[[#This Row],[Costo_Mantenimiento_CLP]] / Tb_prod[[#This Row],[Dias_Operación_Mes]]</f>
        <v>49547865854.96035</v>
      </c>
      <c r="O184" s="11">
        <f>Tb_prod[[#This Row],[Costo_Operativo_CLP]] / Tb_prod[[#This Row],[Producción_Toneladas]]</f>
        <v>18093386.865785889</v>
      </c>
      <c r="P184">
        <v>125</v>
      </c>
      <c r="Q184">
        <v>28</v>
      </c>
      <c r="R184" s="6">
        <v>45324</v>
      </c>
      <c r="S184" t="str">
        <f t="shared" si="4"/>
        <v>viernes</v>
      </c>
      <c r="T184" t="str">
        <f t="shared" si="5"/>
        <v>febrero</v>
      </c>
      <c r="U184">
        <v>70.11</v>
      </c>
      <c r="V184">
        <f xml:space="preserve"> Tb_prod[[#This Row],[Emisiones_CO2_ton]] / Tb_prod[[#This Row],[Cantidad_Empleados]]</f>
        <v>8.0115200000000009</v>
      </c>
      <c r="W184" t="str">
        <f>IF(Tb_prod[[#This Row],[Recuperación_Metal_Porcentaje]]&gt;90,"Alta",IF(Tb_prod[[#This Row],[Recuperación_Metal_Porcentaje]]&gt;75,"Media","Baja"))</f>
        <v>Baja</v>
      </c>
      <c r="X184" t="str">
        <f>IF(AND(Tb_prod[[#This Row],[Consumo_Energia_MWh]]&lt;=2000,Tb_prod[[#This Row],[Riesgo_Ambiental]]="Alto"),"Crítica","Normal")</f>
        <v>Normal</v>
      </c>
    </row>
    <row r="185" spans="1:24">
      <c r="A185">
        <v>208</v>
      </c>
      <c r="B185" t="str">
        <f>VLOOKUP(Tb_prod[[#This Row],[Región]],AUX_REGION[],2,0)</f>
        <v>Minera Romero</v>
      </c>
      <c r="C185" t="s">
        <v>21</v>
      </c>
      <c r="D185" t="s">
        <v>23</v>
      </c>
      <c r="E185" t="s">
        <v>19</v>
      </c>
      <c r="F185" t="s">
        <v>24</v>
      </c>
      <c r="G185" t="s">
        <v>22</v>
      </c>
      <c r="H185" s="23">
        <v>4891.57</v>
      </c>
      <c r="I185" s="23">
        <v>1276.9100000000001</v>
      </c>
      <c r="J185" s="23">
        <v>45794.65</v>
      </c>
      <c r="K185" s="23">
        <v>1000.13</v>
      </c>
      <c r="L185" s="10">
        <v>21683129040</v>
      </c>
      <c r="M185" s="9">
        <v>90666139140</v>
      </c>
      <c r="N185" s="12">
        <f xml:space="preserve"> Tb_prod[[#This Row],[Costo_Mantenimiento_CLP]] / Tb_prod[[#This Row],[Dias_Operación_Mes]]</f>
        <v>985596774.5454545</v>
      </c>
      <c r="O185" s="11">
        <f>Tb_prod[[#This Row],[Costo_Operativo_CLP]] / Tb_prod[[#This Row],[Producción_Toneladas]]</f>
        <v>18535181.780082878</v>
      </c>
      <c r="P185">
        <v>296</v>
      </c>
      <c r="Q185">
        <v>22</v>
      </c>
      <c r="R185" s="6">
        <v>45804</v>
      </c>
      <c r="S185" t="str">
        <f t="shared" si="4"/>
        <v>martes</v>
      </c>
      <c r="T185" t="str">
        <f t="shared" si="5"/>
        <v>mayo</v>
      </c>
      <c r="U185">
        <v>93.76</v>
      </c>
      <c r="V185">
        <f xml:space="preserve"> Tb_prod[[#This Row],[Emisiones_CO2_ton]] / Tb_prod[[#This Row],[Cantidad_Empleados]]</f>
        <v>3.3788175675675673</v>
      </c>
      <c r="W185" t="str">
        <f>IF(Tb_prod[[#This Row],[Recuperación_Metal_Porcentaje]]&gt;90,"Alta",IF(Tb_prod[[#This Row],[Recuperación_Metal_Porcentaje]]&gt;75,"Media","Baja"))</f>
        <v>Alta</v>
      </c>
      <c r="X185" t="str">
        <f>IF(AND(Tb_prod[[#This Row],[Consumo_Energia_MWh]]&lt;=2000,Tb_prod[[#This Row],[Riesgo_Ambiental]]="Alto"),"Crítica","Normal")</f>
        <v>Normal</v>
      </c>
    </row>
    <row r="186" spans="1:24">
      <c r="A186">
        <v>472</v>
      </c>
      <c r="B186" t="str">
        <f>VLOOKUP(Tb_prod[[#This Row],[Región]],AUX_REGION[],2,0)</f>
        <v>Minera Romero</v>
      </c>
      <c r="C186" t="s">
        <v>17</v>
      </c>
      <c r="D186" t="s">
        <v>23</v>
      </c>
      <c r="E186" t="s">
        <v>19</v>
      </c>
      <c r="F186" t="s">
        <v>15</v>
      </c>
      <c r="G186" t="s">
        <v>22</v>
      </c>
      <c r="H186" s="23">
        <v>4381.21</v>
      </c>
      <c r="I186" s="23">
        <v>1842.7</v>
      </c>
      <c r="J186" s="23">
        <v>45800.65</v>
      </c>
      <c r="K186" s="23">
        <v>1106.49</v>
      </c>
      <c r="L186" s="10">
        <v>5804275400000</v>
      </c>
      <c r="M186" s="9">
        <v>63180756990</v>
      </c>
      <c r="N186" s="12">
        <f xml:space="preserve"> Tb_prod[[#This Row],[Costo_Mantenimiento_CLP]] / Tb_prod[[#This Row],[Dias_Operación_Mes]]</f>
        <v>252359800000</v>
      </c>
      <c r="O186" s="11">
        <f>Tb_prod[[#This Row],[Costo_Operativo_CLP]] / Tb_prod[[#This Row],[Producción_Toneladas]]</f>
        <v>14420846.52185127</v>
      </c>
      <c r="P186">
        <v>230</v>
      </c>
      <c r="Q186">
        <v>23</v>
      </c>
      <c r="R186" s="6">
        <v>45382</v>
      </c>
      <c r="S186" t="str">
        <f t="shared" si="4"/>
        <v>domingo</v>
      </c>
      <c r="T186" t="str">
        <f t="shared" si="5"/>
        <v>marzo</v>
      </c>
      <c r="U186">
        <v>83.4</v>
      </c>
      <c r="V186">
        <f xml:space="preserve"> Tb_prod[[#This Row],[Emisiones_CO2_ton]] / Tb_prod[[#This Row],[Cantidad_Empleados]]</f>
        <v>4.8108260869565216</v>
      </c>
      <c r="W186" t="str">
        <f>IF(Tb_prod[[#This Row],[Recuperación_Metal_Porcentaje]]&gt;90,"Alta",IF(Tb_prod[[#This Row],[Recuperación_Metal_Porcentaje]]&gt;75,"Media","Baja"))</f>
        <v>Media</v>
      </c>
      <c r="X186" t="str">
        <f>IF(AND(Tb_prod[[#This Row],[Consumo_Energia_MWh]]&lt;=2000,Tb_prod[[#This Row],[Riesgo_Ambiental]]="Alto"),"Crítica","Normal")</f>
        <v>Normal</v>
      </c>
    </row>
    <row r="187" spans="1:24">
      <c r="A187">
        <v>470</v>
      </c>
      <c r="B187" t="str">
        <f>VLOOKUP(Tb_prod[[#This Row],[Región]],AUX_REGION[],2,0)</f>
        <v>Minera Staff</v>
      </c>
      <c r="C187" t="s">
        <v>12</v>
      </c>
      <c r="D187" t="s">
        <v>13</v>
      </c>
      <c r="E187" t="s">
        <v>19</v>
      </c>
      <c r="F187" t="s">
        <v>26</v>
      </c>
      <c r="G187" t="s">
        <v>20</v>
      </c>
      <c r="H187" s="23">
        <v>7844.74</v>
      </c>
      <c r="I187" s="23">
        <v>2319.2199999999998</v>
      </c>
      <c r="J187" s="23">
        <v>45854.38</v>
      </c>
      <c r="K187" s="23">
        <v>854.09</v>
      </c>
      <c r="L187" s="10">
        <v>33089458680</v>
      </c>
      <c r="M187" s="9">
        <v>17989787970</v>
      </c>
      <c r="N187" s="12">
        <f xml:space="preserve"> Tb_prod[[#This Row],[Costo_Mantenimiento_CLP]] / Tb_prod[[#This Row],[Dias_Operación_Mes]]</f>
        <v>1225535506.6666667</v>
      </c>
      <c r="O187" s="11">
        <f>Tb_prod[[#This Row],[Costo_Operativo_CLP]] / Tb_prod[[#This Row],[Producción_Toneladas]]</f>
        <v>2293229.3447583988</v>
      </c>
      <c r="P187">
        <v>253</v>
      </c>
      <c r="Q187">
        <v>27</v>
      </c>
      <c r="R187" s="6">
        <v>46008</v>
      </c>
      <c r="S187" t="str">
        <f t="shared" si="4"/>
        <v>miércoles</v>
      </c>
      <c r="T187" t="str">
        <f t="shared" si="5"/>
        <v>diciembre</v>
      </c>
      <c r="U187">
        <v>85.07</v>
      </c>
      <c r="V187">
        <f xml:space="preserve"> Tb_prod[[#This Row],[Emisiones_CO2_ton]] / Tb_prod[[#This Row],[Cantidad_Empleados]]</f>
        <v>3.3758498023715418</v>
      </c>
      <c r="W187" t="str">
        <f>IF(Tb_prod[[#This Row],[Recuperación_Metal_Porcentaje]]&gt;90,"Alta",IF(Tb_prod[[#This Row],[Recuperación_Metal_Porcentaje]]&gt;75,"Media","Baja"))</f>
        <v>Media</v>
      </c>
      <c r="X187" t="str">
        <f>IF(AND(Tb_prod[[#This Row],[Consumo_Energia_MWh]]&lt;=2000,Tb_prod[[#This Row],[Riesgo_Ambiental]]="Alto"),"Crítica","Normal")</f>
        <v>Normal</v>
      </c>
    </row>
    <row r="188" spans="1:24">
      <c r="A188">
        <v>456</v>
      </c>
      <c r="B188" t="str">
        <f>VLOOKUP(Tb_prod[[#This Row],[Región]],AUX_REGION[],2,0)</f>
        <v>Minera del Norte</v>
      </c>
      <c r="C188" t="s">
        <v>25</v>
      </c>
      <c r="D188" t="s">
        <v>18</v>
      </c>
      <c r="E188" t="s">
        <v>19</v>
      </c>
      <c r="F188" t="s">
        <v>26</v>
      </c>
      <c r="G188" t="s">
        <v>20</v>
      </c>
      <c r="H188" s="23">
        <v>4120.91</v>
      </c>
      <c r="I188" s="23">
        <v>1391.76</v>
      </c>
      <c r="J188" s="23">
        <v>45874.52</v>
      </c>
      <c r="K188" s="23">
        <v>1405.34</v>
      </c>
      <c r="L188" s="10">
        <v>44147671290</v>
      </c>
      <c r="M188" s="9">
        <v>142978562820</v>
      </c>
      <c r="N188" s="12">
        <f xml:space="preserve"> Tb_prod[[#This Row],[Costo_Mantenimiento_CLP]] / Tb_prod[[#This Row],[Dias_Operación_Mes]]</f>
        <v>1576702546.0714285</v>
      </c>
      <c r="O188" s="11">
        <f>Tb_prod[[#This Row],[Costo_Operativo_CLP]] / Tb_prod[[#This Row],[Producción_Toneladas]]</f>
        <v>34695871.256591387</v>
      </c>
      <c r="P188">
        <v>241</v>
      </c>
      <c r="Q188">
        <v>28</v>
      </c>
      <c r="R188" s="6">
        <v>45702</v>
      </c>
      <c r="S188" t="str">
        <f t="shared" si="4"/>
        <v>viernes</v>
      </c>
      <c r="T188" t="str">
        <f t="shared" si="5"/>
        <v>febrero</v>
      </c>
      <c r="U188">
        <v>70.31</v>
      </c>
      <c r="V188">
        <f xml:space="preserve"> Tb_prod[[#This Row],[Emisiones_CO2_ton]] / Tb_prod[[#This Row],[Cantidad_Empleados]]</f>
        <v>5.8312863070539418</v>
      </c>
      <c r="W188" t="str">
        <f>IF(Tb_prod[[#This Row],[Recuperación_Metal_Porcentaje]]&gt;90,"Alta",IF(Tb_prod[[#This Row],[Recuperación_Metal_Porcentaje]]&gt;75,"Media","Baja"))</f>
        <v>Baja</v>
      </c>
      <c r="X188" t="str">
        <f>IF(AND(Tb_prod[[#This Row],[Consumo_Energia_MWh]]&lt;=2000,Tb_prod[[#This Row],[Riesgo_Ambiental]]="Alto"),"Crítica","Normal")</f>
        <v>Crítica</v>
      </c>
    </row>
    <row r="189" spans="1:24">
      <c r="A189">
        <v>425</v>
      </c>
      <c r="B189" t="str">
        <f>VLOOKUP(Tb_prod[[#This Row],[Región]],AUX_REGION[],2,0)</f>
        <v>Minera Romero</v>
      </c>
      <c r="C189" t="s">
        <v>21</v>
      </c>
      <c r="D189" t="s">
        <v>23</v>
      </c>
      <c r="E189" t="s">
        <v>19</v>
      </c>
      <c r="F189" t="s">
        <v>26</v>
      </c>
      <c r="G189" t="s">
        <v>20</v>
      </c>
      <c r="H189" s="23">
        <v>5137.1499999999996</v>
      </c>
      <c r="I189" s="23">
        <v>2268.42</v>
      </c>
      <c r="J189" s="23">
        <v>45904.06</v>
      </c>
      <c r="K189" s="23">
        <v>996.05</v>
      </c>
      <c r="L189" s="10">
        <v>16320652200</v>
      </c>
      <c r="M189" s="9">
        <v>168286027860</v>
      </c>
      <c r="N189" s="12">
        <f xml:space="preserve"> Tb_prod[[#This Row],[Costo_Mantenimiento_CLP]] / Tb_prod[[#This Row],[Dias_Operación_Mes]]</f>
        <v>562781110.34482753</v>
      </c>
      <c r="O189" s="11">
        <f>Tb_prod[[#This Row],[Costo_Operativo_CLP]] / Tb_prod[[#This Row],[Producción_Toneladas]]</f>
        <v>32758636.181540351</v>
      </c>
      <c r="P189">
        <v>146</v>
      </c>
      <c r="Q189">
        <v>29</v>
      </c>
      <c r="R189" s="6">
        <v>45329</v>
      </c>
      <c r="S189" t="str">
        <f t="shared" si="4"/>
        <v>miércoles</v>
      </c>
      <c r="T189" t="str">
        <f t="shared" si="5"/>
        <v>febrero</v>
      </c>
      <c r="U189">
        <v>85.09</v>
      </c>
      <c r="V189">
        <f xml:space="preserve"> Tb_prod[[#This Row],[Emisiones_CO2_ton]] / Tb_prod[[#This Row],[Cantidad_Empleados]]</f>
        <v>6.8222602739726028</v>
      </c>
      <c r="W189" t="str">
        <f>IF(Tb_prod[[#This Row],[Recuperación_Metal_Porcentaje]]&gt;90,"Alta",IF(Tb_prod[[#This Row],[Recuperación_Metal_Porcentaje]]&gt;75,"Media","Baja"))</f>
        <v>Media</v>
      </c>
      <c r="X189" t="str">
        <f>IF(AND(Tb_prod[[#This Row],[Consumo_Energia_MWh]]&lt;=2000,Tb_prod[[#This Row],[Riesgo_Ambiental]]="Alto"),"Crítica","Normal")</f>
        <v>Normal</v>
      </c>
    </row>
    <row r="190" spans="1:24">
      <c r="A190">
        <v>418</v>
      </c>
      <c r="B190" t="str">
        <f>VLOOKUP(Tb_prod[[#This Row],[Región]],AUX_REGION[],2,0)</f>
        <v>Minera Staff</v>
      </c>
      <c r="C190" t="s">
        <v>25</v>
      </c>
      <c r="D190" t="s">
        <v>13</v>
      </c>
      <c r="E190" t="s">
        <v>14</v>
      </c>
      <c r="F190" t="s">
        <v>15</v>
      </c>
      <c r="G190" t="s">
        <v>20</v>
      </c>
      <c r="H190" s="23">
        <v>5310.27</v>
      </c>
      <c r="I190" s="23">
        <v>2067.67</v>
      </c>
      <c r="J190" s="23">
        <v>45940.3</v>
      </c>
      <c r="K190" s="23">
        <v>783.07</v>
      </c>
      <c r="L190" s="10">
        <v>1346672433538.8899</v>
      </c>
      <c r="M190" s="9">
        <v>66441216960</v>
      </c>
      <c r="N190" s="12">
        <f xml:space="preserve"> Tb_prod[[#This Row],[Costo_Mantenimiento_CLP]] / Tb_prod[[#This Row],[Dias_Operación_Mes]]</f>
        <v>46436980466.858269</v>
      </c>
      <c r="O190" s="11">
        <f>Tb_prod[[#This Row],[Costo_Operativo_CLP]] / Tb_prod[[#This Row],[Producción_Toneladas]]</f>
        <v>12511834.042336829</v>
      </c>
      <c r="P190">
        <v>233</v>
      </c>
      <c r="Q190">
        <v>29</v>
      </c>
      <c r="R190" s="6">
        <v>45086</v>
      </c>
      <c r="S190" t="str">
        <f t="shared" si="4"/>
        <v>viernes</v>
      </c>
      <c r="T190" t="str">
        <f t="shared" si="5"/>
        <v>junio</v>
      </c>
      <c r="U190">
        <v>89.77</v>
      </c>
      <c r="V190">
        <f xml:space="preserve"> Tb_prod[[#This Row],[Emisiones_CO2_ton]] / Tb_prod[[#This Row],[Cantidad_Empleados]]</f>
        <v>3.3608154506437771</v>
      </c>
      <c r="W190" t="str">
        <f>IF(Tb_prod[[#This Row],[Recuperación_Metal_Porcentaje]]&gt;90,"Alta",IF(Tb_prod[[#This Row],[Recuperación_Metal_Porcentaje]]&gt;75,"Media","Baja"))</f>
        <v>Media</v>
      </c>
      <c r="X190" t="str">
        <f>IF(AND(Tb_prod[[#This Row],[Consumo_Energia_MWh]]&lt;=2000,Tb_prod[[#This Row],[Riesgo_Ambiental]]="Alto"),"Crítica","Normal")</f>
        <v>Normal</v>
      </c>
    </row>
    <row r="191" spans="1:24">
      <c r="A191">
        <v>207</v>
      </c>
      <c r="B191" t="str">
        <f>VLOOKUP(Tb_prod[[#This Row],[Región]],AUX_REGION[],2,0)</f>
        <v>Minera Staff</v>
      </c>
      <c r="C191" t="s">
        <v>17</v>
      </c>
      <c r="D191" t="s">
        <v>13</v>
      </c>
      <c r="E191" t="s">
        <v>19</v>
      </c>
      <c r="F191" t="s">
        <v>15</v>
      </c>
      <c r="G191" t="s">
        <v>22</v>
      </c>
      <c r="H191" s="23">
        <v>5492.74</v>
      </c>
      <c r="I191" s="23">
        <v>2123.75</v>
      </c>
      <c r="J191" s="23">
        <v>45948.19</v>
      </c>
      <c r="K191" s="23">
        <v>1449.71</v>
      </c>
      <c r="L191" s="10">
        <v>11934421470</v>
      </c>
      <c r="M191" s="9">
        <v>14642290890</v>
      </c>
      <c r="N191" s="12">
        <f xml:space="preserve"> Tb_prod[[#This Row],[Costo_Mantenimiento_CLP]] / Tb_prod[[#This Row],[Dias_Operación_Mes]]</f>
        <v>477376858.80000001</v>
      </c>
      <c r="O191" s="11">
        <f>Tb_prod[[#This Row],[Costo_Operativo_CLP]] / Tb_prod[[#This Row],[Producción_Toneladas]]</f>
        <v>2665753.5018952289</v>
      </c>
      <c r="P191">
        <v>249</v>
      </c>
      <c r="Q191">
        <v>25</v>
      </c>
      <c r="R191" s="6">
        <v>45840</v>
      </c>
      <c r="S191" t="str">
        <f t="shared" si="4"/>
        <v>miércoles</v>
      </c>
      <c r="T191" t="str">
        <f t="shared" si="5"/>
        <v>julio</v>
      </c>
      <c r="U191">
        <v>79.38</v>
      </c>
      <c r="V191">
        <f xml:space="preserve"> Tb_prod[[#This Row],[Emisiones_CO2_ton]] / Tb_prod[[#This Row],[Cantidad_Empleados]]</f>
        <v>5.8221285140562253</v>
      </c>
      <c r="W191" t="str">
        <f>IF(Tb_prod[[#This Row],[Recuperación_Metal_Porcentaje]]&gt;90,"Alta",IF(Tb_prod[[#This Row],[Recuperación_Metal_Porcentaje]]&gt;75,"Media","Baja"))</f>
        <v>Media</v>
      </c>
      <c r="X191" t="str">
        <f>IF(AND(Tb_prod[[#This Row],[Consumo_Energia_MWh]]&lt;=2000,Tb_prod[[#This Row],[Riesgo_Ambiental]]="Alto"),"Crítica","Normal")</f>
        <v>Normal</v>
      </c>
    </row>
    <row r="192" spans="1:24">
      <c r="A192">
        <v>184</v>
      </c>
      <c r="B192" t="str">
        <f>VLOOKUP(Tb_prod[[#This Row],[Región]],AUX_REGION[],2,0)</f>
        <v>Minera del Norte</v>
      </c>
      <c r="C192" t="s">
        <v>25</v>
      </c>
      <c r="D192" t="s">
        <v>18</v>
      </c>
      <c r="E192" t="s">
        <v>14</v>
      </c>
      <c r="F192" t="s">
        <v>24</v>
      </c>
      <c r="G192" t="s">
        <v>22</v>
      </c>
      <c r="H192" s="23">
        <v>4568.07</v>
      </c>
      <c r="I192" s="23">
        <v>2413.21</v>
      </c>
      <c r="J192" s="23">
        <v>45960.24</v>
      </c>
      <c r="K192" s="23">
        <v>900.05</v>
      </c>
      <c r="L192" s="10">
        <v>34372776420</v>
      </c>
      <c r="M192" s="9">
        <v>124198419960</v>
      </c>
      <c r="N192" s="12">
        <f xml:space="preserve"> Tb_prod[[#This Row],[Costo_Mantenimiento_CLP]] / Tb_prod[[#This Row],[Dias_Operación_Mes]]</f>
        <v>1636798877.1428571</v>
      </c>
      <c r="O192" s="11">
        <f>Tb_prod[[#This Row],[Costo_Operativo_CLP]] / Tb_prod[[#This Row],[Producción_Toneladas]]</f>
        <v>27188379.328688048</v>
      </c>
      <c r="P192">
        <v>88</v>
      </c>
      <c r="Q192">
        <v>21</v>
      </c>
      <c r="R192" s="6">
        <v>45272</v>
      </c>
      <c r="S192" t="str">
        <f t="shared" si="4"/>
        <v>martes</v>
      </c>
      <c r="T192" t="str">
        <f t="shared" si="5"/>
        <v>diciembre</v>
      </c>
      <c r="U192">
        <v>75.3</v>
      </c>
      <c r="V192">
        <f xml:space="preserve"> Tb_prod[[#This Row],[Emisiones_CO2_ton]] / Tb_prod[[#This Row],[Cantidad_Empleados]]</f>
        <v>10.227840909090908</v>
      </c>
      <c r="W192" t="str">
        <f>IF(Tb_prod[[#This Row],[Recuperación_Metal_Porcentaje]]&gt;90,"Alta",IF(Tb_prod[[#This Row],[Recuperación_Metal_Porcentaje]]&gt;75,"Media","Baja"))</f>
        <v>Media</v>
      </c>
      <c r="X192" t="str">
        <f>IF(AND(Tb_prod[[#This Row],[Consumo_Energia_MWh]]&lt;=2000,Tb_prod[[#This Row],[Riesgo_Ambiental]]="Alto"),"Crítica","Normal")</f>
        <v>Normal</v>
      </c>
    </row>
    <row r="193" spans="1:24">
      <c r="A193">
        <v>473</v>
      </c>
      <c r="B193" t="str">
        <f>VLOOKUP(Tb_prod[[#This Row],[Región]],AUX_REGION[],2,0)</f>
        <v>Minera Staff</v>
      </c>
      <c r="C193" t="s">
        <v>25</v>
      </c>
      <c r="D193" t="s">
        <v>13</v>
      </c>
      <c r="E193" t="s">
        <v>19</v>
      </c>
      <c r="F193" t="s">
        <v>15</v>
      </c>
      <c r="G193" t="s">
        <v>22</v>
      </c>
      <c r="H193" s="23">
        <v>5584.94</v>
      </c>
      <c r="I193" s="23">
        <v>979.88</v>
      </c>
      <c r="J193" s="23">
        <v>45990.17</v>
      </c>
      <c r="K193" s="23">
        <v>893.49</v>
      </c>
      <c r="L193" s="10">
        <v>4670667090</v>
      </c>
      <c r="M193" s="9">
        <v>128424781170</v>
      </c>
      <c r="N193" s="12">
        <f xml:space="preserve"> Tb_prod[[#This Row],[Costo_Mantenimiento_CLP]] / Tb_prod[[#This Row],[Dias_Operación_Mes]]</f>
        <v>203072482.17391303</v>
      </c>
      <c r="O193" s="11">
        <f>Tb_prod[[#This Row],[Costo_Operativo_CLP]] / Tb_prod[[#This Row],[Producción_Toneladas]]</f>
        <v>22994836.322323967</v>
      </c>
      <c r="P193">
        <v>93</v>
      </c>
      <c r="Q193">
        <v>23</v>
      </c>
      <c r="R193" s="6">
        <v>45264</v>
      </c>
      <c r="S193" t="str">
        <f t="shared" si="4"/>
        <v>lunes</v>
      </c>
      <c r="T193" t="str">
        <f t="shared" si="5"/>
        <v>diciembre</v>
      </c>
      <c r="U193">
        <v>96.19</v>
      </c>
      <c r="V193">
        <f xml:space="preserve"> Tb_prod[[#This Row],[Emisiones_CO2_ton]] / Tb_prod[[#This Row],[Cantidad_Empleados]]</f>
        <v>9.6074193548387097</v>
      </c>
      <c r="W193" t="str">
        <f>IF(Tb_prod[[#This Row],[Recuperación_Metal_Porcentaje]]&gt;90,"Alta",IF(Tb_prod[[#This Row],[Recuperación_Metal_Porcentaje]]&gt;75,"Media","Baja"))</f>
        <v>Alta</v>
      </c>
      <c r="X193" t="str">
        <f>IF(AND(Tb_prod[[#This Row],[Consumo_Energia_MWh]]&lt;=2000,Tb_prod[[#This Row],[Riesgo_Ambiental]]="Alto"),"Crítica","Normal")</f>
        <v>Normal</v>
      </c>
    </row>
    <row r="194" spans="1:24">
      <c r="A194">
        <v>229</v>
      </c>
      <c r="B194" t="str">
        <f>VLOOKUP(Tb_prod[[#This Row],[Región]],AUX_REGION[],2,0)</f>
        <v>Minera Romero</v>
      </c>
      <c r="C194" t="s">
        <v>21</v>
      </c>
      <c r="D194" t="s">
        <v>23</v>
      </c>
      <c r="E194" t="s">
        <v>14</v>
      </c>
      <c r="F194" t="s">
        <v>24</v>
      </c>
      <c r="G194" t="s">
        <v>22</v>
      </c>
      <c r="H194" s="23">
        <v>7552.54</v>
      </c>
      <c r="I194" s="23">
        <v>2380.54</v>
      </c>
      <c r="J194" s="23">
        <v>46008.14</v>
      </c>
      <c r="K194" s="23">
        <v>918.56</v>
      </c>
      <c r="L194" s="10">
        <v>7554207240</v>
      </c>
      <c r="M194" s="9">
        <v>143074305360</v>
      </c>
      <c r="N194" s="12">
        <f xml:space="preserve"> Tb_prod[[#This Row],[Costo_Mantenimiento_CLP]] / Tb_prod[[#This Row],[Dias_Operación_Mes]]</f>
        <v>314758635</v>
      </c>
      <c r="O194" s="11">
        <f>Tb_prod[[#This Row],[Costo_Operativo_CLP]] / Tb_prod[[#This Row],[Producción_Toneladas]]</f>
        <v>18943865.952381585</v>
      </c>
      <c r="P194">
        <v>218</v>
      </c>
      <c r="Q194">
        <v>24</v>
      </c>
      <c r="R194" s="6">
        <v>44953</v>
      </c>
      <c r="S194" t="str">
        <f t="shared" ref="S194:S257" si="6">TEXT(R194,"dddd")</f>
        <v>viernes</v>
      </c>
      <c r="T194" t="str">
        <f t="shared" ref="T194:T257" si="7">TEXT(R194,"mmmm")</f>
        <v>enero</v>
      </c>
      <c r="U194">
        <v>78.61</v>
      </c>
      <c r="V194">
        <f xml:space="preserve"> Tb_prod[[#This Row],[Emisiones_CO2_ton]] / Tb_prod[[#This Row],[Cantidad_Empleados]]</f>
        <v>4.2135779816513761</v>
      </c>
      <c r="W194" t="str">
        <f>IF(Tb_prod[[#This Row],[Recuperación_Metal_Porcentaje]]&gt;90,"Alta",IF(Tb_prod[[#This Row],[Recuperación_Metal_Porcentaje]]&gt;75,"Media","Baja"))</f>
        <v>Media</v>
      </c>
      <c r="X194" t="str">
        <f>IF(AND(Tb_prod[[#This Row],[Consumo_Energia_MWh]]&lt;=2000,Tb_prod[[#This Row],[Riesgo_Ambiental]]="Alto"),"Crítica","Normal")</f>
        <v>Normal</v>
      </c>
    </row>
    <row r="195" spans="1:24">
      <c r="A195">
        <v>206</v>
      </c>
      <c r="B195" t="str">
        <f>VLOOKUP(Tb_prod[[#This Row],[Región]],AUX_REGION[],2,0)</f>
        <v>Minera Staff</v>
      </c>
      <c r="C195" t="s">
        <v>21</v>
      </c>
      <c r="D195" t="s">
        <v>13</v>
      </c>
      <c r="E195" t="s">
        <v>14</v>
      </c>
      <c r="F195" t="s">
        <v>26</v>
      </c>
      <c r="G195" t="s">
        <v>20</v>
      </c>
      <c r="H195" s="23">
        <v>4422.41</v>
      </c>
      <c r="I195" s="23">
        <v>2610.52</v>
      </c>
      <c r="J195" s="23">
        <v>46062.62</v>
      </c>
      <c r="K195" s="23">
        <v>1418.99</v>
      </c>
      <c r="L195" s="10">
        <v>1336505480938.8899</v>
      </c>
      <c r="M195" s="9">
        <v>30631971960</v>
      </c>
      <c r="N195" s="12">
        <f xml:space="preserve"> Tb_prod[[#This Row],[Costo_Mantenimiento_CLP]] / Tb_prod[[#This Row],[Dias_Operación_Mes]]</f>
        <v>49500202997.736664</v>
      </c>
      <c r="O195" s="11">
        <f>Tb_prod[[#This Row],[Costo_Operativo_CLP]] / Tb_prod[[#This Row],[Producción_Toneladas]]</f>
        <v>6926533.7135181949</v>
      </c>
      <c r="P195">
        <v>215</v>
      </c>
      <c r="Q195">
        <v>27</v>
      </c>
      <c r="R195" s="6">
        <v>45823</v>
      </c>
      <c r="S195" t="str">
        <f t="shared" si="6"/>
        <v>domingo</v>
      </c>
      <c r="T195" t="str">
        <f t="shared" si="7"/>
        <v>junio</v>
      </c>
      <c r="U195">
        <v>76.099999999999994</v>
      </c>
      <c r="V195">
        <f xml:space="preserve"> Tb_prod[[#This Row],[Emisiones_CO2_ton]] / Tb_prod[[#This Row],[Cantidad_Empleados]]</f>
        <v>6.5999534883720932</v>
      </c>
      <c r="W195" t="str">
        <f>IF(Tb_prod[[#This Row],[Recuperación_Metal_Porcentaje]]&gt;90,"Alta",IF(Tb_prod[[#This Row],[Recuperación_Metal_Porcentaje]]&gt;75,"Media","Baja"))</f>
        <v>Media</v>
      </c>
      <c r="X195" t="str">
        <f>IF(AND(Tb_prod[[#This Row],[Consumo_Energia_MWh]]&lt;=2000,Tb_prod[[#This Row],[Riesgo_Ambiental]]="Alto"),"Crítica","Normal")</f>
        <v>Normal</v>
      </c>
    </row>
    <row r="196" spans="1:24">
      <c r="A196">
        <v>168</v>
      </c>
      <c r="B196" t="str">
        <f>VLOOKUP(Tb_prod[[#This Row],[Región]],AUX_REGION[],2,0)</f>
        <v>Minera del Norte</v>
      </c>
      <c r="C196" t="s">
        <v>21</v>
      </c>
      <c r="D196" t="s">
        <v>18</v>
      </c>
      <c r="E196" t="s">
        <v>19</v>
      </c>
      <c r="F196" t="s">
        <v>26</v>
      </c>
      <c r="G196" t="s">
        <v>16</v>
      </c>
      <c r="H196" s="23">
        <v>4927.96</v>
      </c>
      <c r="I196" s="23">
        <v>2218.56</v>
      </c>
      <c r="J196" s="23">
        <v>46075.839999999997</v>
      </c>
      <c r="K196" s="23">
        <v>1089.3599999999999</v>
      </c>
      <c r="L196" s="10">
        <v>14076802800</v>
      </c>
      <c r="M196" s="9">
        <v>46077178140</v>
      </c>
      <c r="N196" s="12">
        <f xml:space="preserve"> Tb_prod[[#This Row],[Costo_Mantenimiento_CLP]] / Tb_prod[[#This Row],[Dias_Operación_Mes]]</f>
        <v>670323942.85714281</v>
      </c>
      <c r="O196" s="11">
        <f>Tb_prod[[#This Row],[Costo_Operativo_CLP]] / Tb_prod[[#This Row],[Producción_Toneladas]]</f>
        <v>9350152.6270505451</v>
      </c>
      <c r="P196">
        <v>281</v>
      </c>
      <c r="Q196">
        <v>21</v>
      </c>
      <c r="R196" s="6">
        <v>45586</v>
      </c>
      <c r="S196" t="str">
        <f t="shared" si="6"/>
        <v>lunes</v>
      </c>
      <c r="T196" t="str">
        <f t="shared" si="7"/>
        <v>octubre</v>
      </c>
      <c r="U196">
        <v>73.36</v>
      </c>
      <c r="V196">
        <f xml:space="preserve"> Tb_prod[[#This Row],[Emisiones_CO2_ton]] / Tb_prod[[#This Row],[Cantidad_Empleados]]</f>
        <v>3.8767259786476864</v>
      </c>
      <c r="W196" t="str">
        <f>IF(Tb_prod[[#This Row],[Recuperación_Metal_Porcentaje]]&gt;90,"Alta",IF(Tb_prod[[#This Row],[Recuperación_Metal_Porcentaje]]&gt;75,"Media","Baja"))</f>
        <v>Baja</v>
      </c>
      <c r="X196" t="str">
        <f>IF(AND(Tb_prod[[#This Row],[Consumo_Energia_MWh]]&lt;=2000,Tb_prod[[#This Row],[Riesgo_Ambiental]]="Alto"),"Crítica","Normal")</f>
        <v>Normal</v>
      </c>
    </row>
    <row r="197" spans="1:24">
      <c r="A197">
        <v>32</v>
      </c>
      <c r="B197" t="str">
        <f>VLOOKUP(Tb_prod[[#This Row],[Región]],AUX_REGION[],2,0)</f>
        <v>Minera Romero</v>
      </c>
      <c r="C197" t="s">
        <v>12</v>
      </c>
      <c r="D197" t="s">
        <v>23</v>
      </c>
      <c r="E197" t="s">
        <v>14</v>
      </c>
      <c r="F197" t="s">
        <v>15</v>
      </c>
      <c r="G197" t="s">
        <v>16</v>
      </c>
      <c r="H197" s="23">
        <v>8908.9699999999993</v>
      </c>
      <c r="I197" s="23">
        <v>2841.24</v>
      </c>
      <c r="J197" s="23">
        <v>46091.29</v>
      </c>
      <c r="K197" s="23">
        <v>1039.93</v>
      </c>
      <c r="L197" s="10">
        <v>33615641070</v>
      </c>
      <c r="M197" s="9">
        <v>74886754050</v>
      </c>
      <c r="N197" s="12">
        <f xml:space="preserve"> Tb_prod[[#This Row],[Costo_Mantenimiento_CLP]] / Tb_prod[[#This Row],[Dias_Operación_Mes]]</f>
        <v>1680782053.5</v>
      </c>
      <c r="O197" s="11">
        <f>Tb_prod[[#This Row],[Costo_Operativo_CLP]] / Tb_prod[[#This Row],[Producción_Toneladas]]</f>
        <v>8405770.1451458484</v>
      </c>
      <c r="P197">
        <v>83</v>
      </c>
      <c r="Q197">
        <v>20</v>
      </c>
      <c r="R197" s="6">
        <v>45629</v>
      </c>
      <c r="S197" t="str">
        <f t="shared" si="6"/>
        <v>martes</v>
      </c>
      <c r="T197" t="str">
        <f t="shared" si="7"/>
        <v>diciembre</v>
      </c>
      <c r="U197">
        <v>98.53</v>
      </c>
      <c r="V197">
        <f xml:space="preserve"> Tb_prod[[#This Row],[Emisiones_CO2_ton]] / Tb_prod[[#This Row],[Cantidad_Empleados]]</f>
        <v>12.529277108433735</v>
      </c>
      <c r="W197" t="str">
        <f>IF(Tb_prod[[#This Row],[Recuperación_Metal_Porcentaje]]&gt;90,"Alta",IF(Tb_prod[[#This Row],[Recuperación_Metal_Porcentaje]]&gt;75,"Media","Baja"))</f>
        <v>Alta</v>
      </c>
      <c r="X197" t="str">
        <f>IF(AND(Tb_prod[[#This Row],[Consumo_Energia_MWh]]&lt;=2000,Tb_prod[[#This Row],[Riesgo_Ambiental]]="Alto"),"Crítica","Normal")</f>
        <v>Normal</v>
      </c>
    </row>
    <row r="198" spans="1:24">
      <c r="A198">
        <v>10</v>
      </c>
      <c r="B198" t="str">
        <f>VLOOKUP(Tb_prod[[#This Row],[Región]],AUX_REGION[],2,0)</f>
        <v>Minera Romero</v>
      </c>
      <c r="C198" t="s">
        <v>17</v>
      </c>
      <c r="D198" t="s">
        <v>23</v>
      </c>
      <c r="E198" t="s">
        <v>14</v>
      </c>
      <c r="F198" t="s">
        <v>15</v>
      </c>
      <c r="G198" t="s">
        <v>20</v>
      </c>
      <c r="H198" s="23">
        <v>3006.28</v>
      </c>
      <c r="I198" s="23">
        <v>1830.69</v>
      </c>
      <c r="J198" s="23">
        <v>46137.04</v>
      </c>
      <c r="K198" s="23">
        <v>933.96</v>
      </c>
      <c r="L198" s="10">
        <v>18079485660</v>
      </c>
      <c r="M198" s="9">
        <v>51190440390</v>
      </c>
      <c r="N198" s="12">
        <f xml:space="preserve"> Tb_prod[[#This Row],[Costo_Mantenimiento_CLP]] / Tb_prod[[#This Row],[Dias_Operación_Mes]]</f>
        <v>669610580</v>
      </c>
      <c r="O198" s="11">
        <f>Tb_prod[[#This Row],[Costo_Operativo_CLP]] / Tb_prod[[#This Row],[Producción_Toneladas]]</f>
        <v>17027835.194991816</v>
      </c>
      <c r="P198">
        <v>271</v>
      </c>
      <c r="Q198">
        <v>27</v>
      </c>
      <c r="R198" s="6">
        <v>45070</v>
      </c>
      <c r="S198" t="str">
        <f t="shared" si="6"/>
        <v>miércoles</v>
      </c>
      <c r="T198" t="str">
        <f t="shared" si="7"/>
        <v>mayo</v>
      </c>
      <c r="U198">
        <v>76.180000000000007</v>
      </c>
      <c r="V198">
        <f xml:space="preserve"> Tb_prod[[#This Row],[Emisiones_CO2_ton]] / Tb_prod[[#This Row],[Cantidad_Empleados]]</f>
        <v>3.4463468634686349</v>
      </c>
      <c r="W198" t="str">
        <f>IF(Tb_prod[[#This Row],[Recuperación_Metal_Porcentaje]]&gt;90,"Alta",IF(Tb_prod[[#This Row],[Recuperación_Metal_Porcentaje]]&gt;75,"Media","Baja"))</f>
        <v>Media</v>
      </c>
      <c r="X198" t="str">
        <f>IF(AND(Tb_prod[[#This Row],[Consumo_Energia_MWh]]&lt;=2000,Tb_prod[[#This Row],[Riesgo_Ambiental]]="Alto"),"Crítica","Normal")</f>
        <v>Crítica</v>
      </c>
    </row>
    <row r="199" spans="1:24">
      <c r="A199">
        <v>142</v>
      </c>
      <c r="B199" t="str">
        <f>VLOOKUP(Tb_prod[[#This Row],[Región]],AUX_REGION[],2,0)</f>
        <v>Minera del Norte</v>
      </c>
      <c r="C199" t="s">
        <v>17</v>
      </c>
      <c r="D199" t="s">
        <v>18</v>
      </c>
      <c r="E199" t="s">
        <v>14</v>
      </c>
      <c r="F199" t="s">
        <v>24</v>
      </c>
      <c r="G199" t="s">
        <v>20</v>
      </c>
      <c r="H199" s="23">
        <v>3676.96</v>
      </c>
      <c r="I199" s="23">
        <v>2111.46</v>
      </c>
      <c r="J199" s="23">
        <v>46192.54</v>
      </c>
      <c r="K199" s="23">
        <v>1640.97</v>
      </c>
      <c r="L199" s="10">
        <v>16195813560</v>
      </c>
      <c r="M199" s="9">
        <v>43926587460</v>
      </c>
      <c r="N199" s="12">
        <f xml:space="preserve"> Tb_prod[[#This Row],[Costo_Mantenimiento_CLP]] / Tb_prod[[#This Row],[Dias_Operación_Mes]]</f>
        <v>558476329.65517247</v>
      </c>
      <c r="O199" s="11">
        <f>Tb_prod[[#This Row],[Costo_Operativo_CLP]] / Tb_prod[[#This Row],[Producción_Toneladas]]</f>
        <v>11946441.478830338</v>
      </c>
      <c r="P199">
        <v>267</v>
      </c>
      <c r="Q199">
        <v>29</v>
      </c>
      <c r="R199" s="6">
        <v>45878</v>
      </c>
      <c r="S199" t="str">
        <f t="shared" si="6"/>
        <v>sábado</v>
      </c>
      <c r="T199" t="str">
        <f t="shared" si="7"/>
        <v>agosto</v>
      </c>
      <c r="U199">
        <v>76.400000000000006</v>
      </c>
      <c r="V199">
        <f xml:space="preserve"> Tb_prod[[#This Row],[Emisiones_CO2_ton]] / Tb_prod[[#This Row],[Cantidad_Empleados]]</f>
        <v>6.1459550561797753</v>
      </c>
      <c r="W199" t="str">
        <f>IF(Tb_prod[[#This Row],[Recuperación_Metal_Porcentaje]]&gt;90,"Alta",IF(Tb_prod[[#This Row],[Recuperación_Metal_Porcentaje]]&gt;75,"Media","Baja"))</f>
        <v>Media</v>
      </c>
      <c r="X199" t="str">
        <f>IF(AND(Tb_prod[[#This Row],[Consumo_Energia_MWh]]&lt;=2000,Tb_prod[[#This Row],[Riesgo_Ambiental]]="Alto"),"Crítica","Normal")</f>
        <v>Normal</v>
      </c>
    </row>
    <row r="200" spans="1:24">
      <c r="A200">
        <v>139</v>
      </c>
      <c r="B200" t="str">
        <f>VLOOKUP(Tb_prod[[#This Row],[Región]],AUX_REGION[],2,0)</f>
        <v>Minera Staff</v>
      </c>
      <c r="C200" t="s">
        <v>25</v>
      </c>
      <c r="D200" t="s">
        <v>13</v>
      </c>
      <c r="E200" t="s">
        <v>19</v>
      </c>
      <c r="F200" t="s">
        <v>26</v>
      </c>
      <c r="G200" t="s">
        <v>22</v>
      </c>
      <c r="H200" s="23">
        <v>5978.8</v>
      </c>
      <c r="I200" s="23">
        <v>2655.84</v>
      </c>
      <c r="J200" s="23">
        <v>46257.18</v>
      </c>
      <c r="K200" s="23">
        <v>728.53</v>
      </c>
      <c r="L200" s="10">
        <v>31438600650</v>
      </c>
      <c r="M200" s="9">
        <v>127627922430</v>
      </c>
      <c r="N200" s="12">
        <f xml:space="preserve"> Tb_prod[[#This Row],[Costo_Mantenimiento_CLP]] / Tb_prod[[#This Row],[Dias_Operación_Mes]]</f>
        <v>1429027302.2727273</v>
      </c>
      <c r="O200" s="11">
        <f>Tb_prod[[#This Row],[Costo_Operativo_CLP]] / Tb_prod[[#This Row],[Producción_Toneladas]]</f>
        <v>21346745.57269017</v>
      </c>
      <c r="P200">
        <v>186</v>
      </c>
      <c r="Q200">
        <v>22</v>
      </c>
      <c r="R200" s="6">
        <v>45590</v>
      </c>
      <c r="S200" t="str">
        <f t="shared" si="6"/>
        <v>viernes</v>
      </c>
      <c r="T200" t="str">
        <f t="shared" si="7"/>
        <v>octubre</v>
      </c>
      <c r="U200">
        <v>84.77</v>
      </c>
      <c r="V200">
        <f xml:space="preserve"> Tb_prod[[#This Row],[Emisiones_CO2_ton]] / Tb_prod[[#This Row],[Cantidad_Empleados]]</f>
        <v>3.916827956989247</v>
      </c>
      <c r="W200" t="str">
        <f>IF(Tb_prod[[#This Row],[Recuperación_Metal_Porcentaje]]&gt;90,"Alta",IF(Tb_prod[[#This Row],[Recuperación_Metal_Porcentaje]]&gt;75,"Media","Baja"))</f>
        <v>Media</v>
      </c>
      <c r="X200" t="str">
        <f>IF(AND(Tb_prod[[#This Row],[Consumo_Energia_MWh]]&lt;=2000,Tb_prod[[#This Row],[Riesgo_Ambiental]]="Alto"),"Crítica","Normal")</f>
        <v>Normal</v>
      </c>
    </row>
    <row r="201" spans="1:24">
      <c r="A201">
        <v>171</v>
      </c>
      <c r="B201" t="str">
        <f>VLOOKUP(Tb_prod[[#This Row],[Región]],AUX_REGION[],2,0)</f>
        <v>Minera Staff</v>
      </c>
      <c r="C201" t="s">
        <v>27</v>
      </c>
      <c r="D201" t="s">
        <v>13</v>
      </c>
      <c r="E201" t="s">
        <v>14</v>
      </c>
      <c r="F201" t="s">
        <v>26</v>
      </c>
      <c r="G201" t="s">
        <v>16</v>
      </c>
      <c r="H201" s="23">
        <v>6251.13</v>
      </c>
      <c r="I201" s="23">
        <v>2516.12</v>
      </c>
      <c r="J201" s="23">
        <v>46275.57</v>
      </c>
      <c r="K201" s="23">
        <v>1079.1600000000001</v>
      </c>
      <c r="L201" s="10">
        <v>33472734480</v>
      </c>
      <c r="M201" s="9">
        <v>72175868730</v>
      </c>
      <c r="N201" s="12">
        <f xml:space="preserve"> Tb_prod[[#This Row],[Costo_Mantenimiento_CLP]] / Tb_prod[[#This Row],[Dias_Operación_Mes]]</f>
        <v>1394697270</v>
      </c>
      <c r="O201" s="11">
        <f>Tb_prod[[#This Row],[Costo_Operativo_CLP]] / Tb_prod[[#This Row],[Producción_Toneladas]]</f>
        <v>11546051.470694099</v>
      </c>
      <c r="P201">
        <v>130</v>
      </c>
      <c r="Q201">
        <v>24</v>
      </c>
      <c r="R201" s="6">
        <v>45899</v>
      </c>
      <c r="S201" t="str">
        <f t="shared" si="6"/>
        <v>sábado</v>
      </c>
      <c r="T201" t="str">
        <f t="shared" si="7"/>
        <v>agosto</v>
      </c>
      <c r="U201">
        <v>85.09</v>
      </c>
      <c r="V201">
        <f xml:space="preserve"> Tb_prod[[#This Row],[Emisiones_CO2_ton]] / Tb_prod[[#This Row],[Cantidad_Empleados]]</f>
        <v>8.3012307692307701</v>
      </c>
      <c r="W201" t="str">
        <f>IF(Tb_prod[[#This Row],[Recuperación_Metal_Porcentaje]]&gt;90,"Alta",IF(Tb_prod[[#This Row],[Recuperación_Metal_Porcentaje]]&gt;75,"Media","Baja"))</f>
        <v>Media</v>
      </c>
      <c r="X201" t="str">
        <f>IF(AND(Tb_prod[[#This Row],[Consumo_Energia_MWh]]&lt;=2000,Tb_prod[[#This Row],[Riesgo_Ambiental]]="Alto"),"Crítica","Normal")</f>
        <v>Normal</v>
      </c>
    </row>
    <row r="202" spans="1:24">
      <c r="A202">
        <v>321</v>
      </c>
      <c r="B202" t="str">
        <f>VLOOKUP(Tb_prod[[#This Row],[Región]],AUX_REGION[],2,0)</f>
        <v>Minera Staff</v>
      </c>
      <c r="C202" t="s">
        <v>25</v>
      </c>
      <c r="D202" t="s">
        <v>13</v>
      </c>
      <c r="E202" t="s">
        <v>19</v>
      </c>
      <c r="F202" t="s">
        <v>15</v>
      </c>
      <c r="G202" t="s">
        <v>20</v>
      </c>
      <c r="H202" s="23">
        <v>2544.91</v>
      </c>
      <c r="I202" s="23">
        <v>2267.6</v>
      </c>
      <c r="J202" s="23">
        <v>46350.23</v>
      </c>
      <c r="K202" s="23">
        <v>988.96</v>
      </c>
      <c r="L202" s="10">
        <v>28346981310</v>
      </c>
      <c r="M202" s="9">
        <v>82485369090</v>
      </c>
      <c r="N202" s="12">
        <f xml:space="preserve"> Tb_prod[[#This Row],[Costo_Mantenimiento_CLP]] / Tb_prod[[#This Row],[Dias_Operación_Mes]]</f>
        <v>1133879252.4000001</v>
      </c>
      <c r="O202" s="11">
        <f>Tb_prod[[#This Row],[Costo_Operativo_CLP]] / Tb_prod[[#This Row],[Producción_Toneladas]]</f>
        <v>32411900.259734139</v>
      </c>
      <c r="P202">
        <v>276</v>
      </c>
      <c r="Q202">
        <v>25</v>
      </c>
      <c r="R202" s="6">
        <v>45046</v>
      </c>
      <c r="S202" t="str">
        <f t="shared" si="6"/>
        <v>domingo</v>
      </c>
      <c r="T202" t="str">
        <f t="shared" si="7"/>
        <v>abril</v>
      </c>
      <c r="U202">
        <v>71</v>
      </c>
      <c r="V202">
        <f xml:space="preserve"> Tb_prod[[#This Row],[Emisiones_CO2_ton]] / Tb_prod[[#This Row],[Cantidad_Empleados]]</f>
        <v>3.5831884057971015</v>
      </c>
      <c r="W202" t="str">
        <f>IF(Tb_prod[[#This Row],[Recuperación_Metal_Porcentaje]]&gt;90,"Alta",IF(Tb_prod[[#This Row],[Recuperación_Metal_Porcentaje]]&gt;75,"Media","Baja"))</f>
        <v>Baja</v>
      </c>
      <c r="X202" t="str">
        <f>IF(AND(Tb_prod[[#This Row],[Consumo_Energia_MWh]]&lt;=2000,Tb_prod[[#This Row],[Riesgo_Ambiental]]="Alto"),"Crítica","Normal")</f>
        <v>Normal</v>
      </c>
    </row>
    <row r="203" spans="1:24">
      <c r="A203">
        <v>183</v>
      </c>
      <c r="B203" t="str">
        <f>VLOOKUP(Tb_prod[[#This Row],[Región]],AUX_REGION[],2,0)</f>
        <v>Minera Romero</v>
      </c>
      <c r="C203" t="s">
        <v>27</v>
      </c>
      <c r="D203" t="s">
        <v>23</v>
      </c>
      <c r="E203" t="s">
        <v>14</v>
      </c>
      <c r="F203" t="s">
        <v>15</v>
      </c>
      <c r="G203" t="s">
        <v>16</v>
      </c>
      <c r="H203" s="23">
        <v>5530.64</v>
      </c>
      <c r="I203" s="23">
        <v>3277.37</v>
      </c>
      <c r="J203" s="23">
        <v>46434.69</v>
      </c>
      <c r="K203" s="23">
        <v>1230.45</v>
      </c>
      <c r="L203" s="10">
        <v>3644398530</v>
      </c>
      <c r="M203" s="9">
        <v>128535405840</v>
      </c>
      <c r="N203" s="12">
        <f xml:space="preserve"> Tb_prod[[#This Row],[Costo_Mantenimiento_CLP]] / Tb_prod[[#This Row],[Dias_Operación_Mes]]</f>
        <v>125668914.8275862</v>
      </c>
      <c r="O203" s="11">
        <f>Tb_prod[[#This Row],[Costo_Operativo_CLP]] / Tb_prod[[#This Row],[Producción_Toneladas]]</f>
        <v>23240602.50531584</v>
      </c>
      <c r="P203">
        <v>181</v>
      </c>
      <c r="Q203">
        <v>29</v>
      </c>
      <c r="R203" s="6">
        <v>45070</v>
      </c>
      <c r="S203" t="str">
        <f t="shared" si="6"/>
        <v>miércoles</v>
      </c>
      <c r="T203" t="str">
        <f t="shared" si="7"/>
        <v>mayo</v>
      </c>
      <c r="U203">
        <v>97.29</v>
      </c>
      <c r="V203">
        <f xml:space="preserve"> Tb_prod[[#This Row],[Emisiones_CO2_ton]] / Tb_prod[[#This Row],[Cantidad_Empleados]]</f>
        <v>6.7980662983425413</v>
      </c>
      <c r="W203" t="str">
        <f>IF(Tb_prod[[#This Row],[Recuperación_Metal_Porcentaje]]&gt;90,"Alta",IF(Tb_prod[[#This Row],[Recuperación_Metal_Porcentaje]]&gt;75,"Media","Baja"))</f>
        <v>Alta</v>
      </c>
      <c r="X203" t="str">
        <f>IF(AND(Tb_prod[[#This Row],[Consumo_Energia_MWh]]&lt;=2000,Tb_prod[[#This Row],[Riesgo_Ambiental]]="Alto"),"Crítica","Normal")</f>
        <v>Normal</v>
      </c>
    </row>
    <row r="204" spans="1:24">
      <c r="A204">
        <v>11</v>
      </c>
      <c r="B204" t="str">
        <f>VLOOKUP(Tb_prod[[#This Row],[Región]],AUX_REGION[],2,0)</f>
        <v>Minera del Norte</v>
      </c>
      <c r="C204" t="s">
        <v>12</v>
      </c>
      <c r="D204" t="s">
        <v>18</v>
      </c>
      <c r="E204" t="s">
        <v>14</v>
      </c>
      <c r="F204" t="s">
        <v>26</v>
      </c>
      <c r="G204" t="s">
        <v>22</v>
      </c>
      <c r="H204" s="23">
        <v>7482.47</v>
      </c>
      <c r="I204" s="23">
        <v>2519.19</v>
      </c>
      <c r="J204" s="23">
        <v>46709.87</v>
      </c>
      <c r="K204" s="23">
        <v>821.86</v>
      </c>
      <c r="L204" s="10">
        <v>7791839820</v>
      </c>
      <c r="M204" s="9">
        <v>174563041050</v>
      </c>
      <c r="N204" s="12">
        <f xml:space="preserve"> Tb_prod[[#This Row],[Costo_Mantenimiento_CLP]] / Tb_prod[[#This Row],[Dias_Operación_Mes]]</f>
        <v>278279993.5714286</v>
      </c>
      <c r="O204" s="11">
        <f>Tb_prod[[#This Row],[Costo_Operativo_CLP]] / Tb_prod[[#This Row],[Producción_Toneladas]]</f>
        <v>23329601.194525335</v>
      </c>
      <c r="P204">
        <v>159</v>
      </c>
      <c r="Q204">
        <v>28</v>
      </c>
      <c r="R204" s="6">
        <v>45732</v>
      </c>
      <c r="S204" t="str">
        <f t="shared" si="6"/>
        <v>domingo</v>
      </c>
      <c r="T204" t="str">
        <f t="shared" si="7"/>
        <v>marzo</v>
      </c>
      <c r="U204">
        <v>92.67</v>
      </c>
      <c r="V204">
        <f xml:space="preserve"> Tb_prod[[#This Row],[Emisiones_CO2_ton]] / Tb_prod[[#This Row],[Cantidad_Empleados]]</f>
        <v>5.1689308176100628</v>
      </c>
      <c r="W204" t="str">
        <f>IF(Tb_prod[[#This Row],[Recuperación_Metal_Porcentaje]]&gt;90,"Alta",IF(Tb_prod[[#This Row],[Recuperación_Metal_Porcentaje]]&gt;75,"Media","Baja"))</f>
        <v>Alta</v>
      </c>
      <c r="X204" t="str">
        <f>IF(AND(Tb_prod[[#This Row],[Consumo_Energia_MWh]]&lt;=2000,Tb_prod[[#This Row],[Riesgo_Ambiental]]="Alto"),"Crítica","Normal")</f>
        <v>Normal</v>
      </c>
    </row>
    <row r="205" spans="1:24">
      <c r="A205">
        <v>213</v>
      </c>
      <c r="B205" t="str">
        <f>VLOOKUP(Tb_prod[[#This Row],[Región]],AUX_REGION[],2,0)</f>
        <v>Minera Staff</v>
      </c>
      <c r="C205" t="s">
        <v>21</v>
      </c>
      <c r="D205" t="s">
        <v>13</v>
      </c>
      <c r="E205" t="s">
        <v>14</v>
      </c>
      <c r="F205" t="s">
        <v>26</v>
      </c>
      <c r="G205" t="s">
        <v>16</v>
      </c>
      <c r="H205" s="23">
        <v>4069.09</v>
      </c>
      <c r="I205" s="23">
        <v>2147.0100000000002</v>
      </c>
      <c r="J205" s="23">
        <v>46727.86</v>
      </c>
      <c r="K205" s="23">
        <v>858.05</v>
      </c>
      <c r="L205" s="10">
        <v>25473538710</v>
      </c>
      <c r="M205" s="9">
        <v>126039277800</v>
      </c>
      <c r="N205" s="12">
        <f xml:space="preserve"> Tb_prod[[#This Row],[Costo_Mantenimiento_CLP]] / Tb_prod[[#This Row],[Dias_Operación_Mes]]</f>
        <v>979751488.84615386</v>
      </c>
      <c r="O205" s="11">
        <f>Tb_prod[[#This Row],[Costo_Operativo_CLP]] / Tb_prod[[#This Row],[Producción_Toneladas]]</f>
        <v>30974807.094460923</v>
      </c>
      <c r="P205">
        <v>255</v>
      </c>
      <c r="Q205">
        <v>26</v>
      </c>
      <c r="R205" s="6">
        <v>45727</v>
      </c>
      <c r="S205" t="str">
        <f t="shared" si="6"/>
        <v>martes</v>
      </c>
      <c r="T205" t="str">
        <f t="shared" si="7"/>
        <v>marzo</v>
      </c>
      <c r="U205">
        <v>72.430000000000007</v>
      </c>
      <c r="V205">
        <f xml:space="preserve"> Tb_prod[[#This Row],[Emisiones_CO2_ton]] / Tb_prod[[#This Row],[Cantidad_Empleados]]</f>
        <v>3.3649019607843136</v>
      </c>
      <c r="W205" t="str">
        <f>IF(Tb_prod[[#This Row],[Recuperación_Metal_Porcentaje]]&gt;90,"Alta",IF(Tb_prod[[#This Row],[Recuperación_Metal_Porcentaje]]&gt;75,"Media","Baja"))</f>
        <v>Baja</v>
      </c>
      <c r="X205" t="str">
        <f>IF(AND(Tb_prod[[#This Row],[Consumo_Energia_MWh]]&lt;=2000,Tb_prod[[#This Row],[Riesgo_Ambiental]]="Alto"),"Crítica","Normal")</f>
        <v>Normal</v>
      </c>
    </row>
    <row r="206" spans="1:24">
      <c r="A206">
        <v>388</v>
      </c>
      <c r="B206" t="str">
        <f>VLOOKUP(Tb_prod[[#This Row],[Región]],AUX_REGION[],2,0)</f>
        <v>Minera del Norte</v>
      </c>
      <c r="C206" t="s">
        <v>25</v>
      </c>
      <c r="D206" t="s">
        <v>18</v>
      </c>
      <c r="E206" t="s">
        <v>19</v>
      </c>
      <c r="F206" t="s">
        <v>26</v>
      </c>
      <c r="G206" t="s">
        <v>22</v>
      </c>
      <c r="H206" s="23">
        <v>7652.45</v>
      </c>
      <c r="I206" s="23">
        <v>1328.83</v>
      </c>
      <c r="J206" s="23">
        <v>46806.44</v>
      </c>
      <c r="K206" s="23">
        <v>350.09</v>
      </c>
      <c r="L206" s="10">
        <v>509708380000</v>
      </c>
      <c r="M206" s="9">
        <v>178953126120</v>
      </c>
      <c r="N206" s="12">
        <f xml:space="preserve"> Tb_prod[[#This Row],[Costo_Mantenimiento_CLP]] / Tb_prod[[#This Row],[Dias_Operación_Mes]]</f>
        <v>25485419000</v>
      </c>
      <c r="O206" s="11">
        <f>Tb_prod[[#This Row],[Costo_Operativo_CLP]] / Tb_prod[[#This Row],[Producción_Toneladas]]</f>
        <v>23385076.167763267</v>
      </c>
      <c r="P206">
        <v>279</v>
      </c>
      <c r="Q206">
        <v>20</v>
      </c>
      <c r="R206" s="6">
        <v>45531</v>
      </c>
      <c r="S206" t="str">
        <f t="shared" si="6"/>
        <v>martes</v>
      </c>
      <c r="T206" t="str">
        <f t="shared" si="7"/>
        <v>agosto</v>
      </c>
      <c r="U206">
        <v>90.97</v>
      </c>
      <c r="V206">
        <f xml:space="preserve"> Tb_prod[[#This Row],[Emisiones_CO2_ton]] / Tb_prod[[#This Row],[Cantidad_Empleados]]</f>
        <v>1.2548028673835125</v>
      </c>
      <c r="W206" t="str">
        <f>IF(Tb_prod[[#This Row],[Recuperación_Metal_Porcentaje]]&gt;90,"Alta",IF(Tb_prod[[#This Row],[Recuperación_Metal_Porcentaje]]&gt;75,"Media","Baja"))</f>
        <v>Alta</v>
      </c>
      <c r="X206" t="str">
        <f>IF(AND(Tb_prod[[#This Row],[Consumo_Energia_MWh]]&lt;=2000,Tb_prod[[#This Row],[Riesgo_Ambiental]]="Alto"),"Crítica","Normal")</f>
        <v>Normal</v>
      </c>
    </row>
    <row r="207" spans="1:24">
      <c r="A207">
        <v>463</v>
      </c>
      <c r="B207" t="str">
        <f>VLOOKUP(Tb_prod[[#This Row],[Región]],AUX_REGION[],2,0)</f>
        <v>Minera Romero</v>
      </c>
      <c r="C207" t="s">
        <v>17</v>
      </c>
      <c r="D207" t="s">
        <v>23</v>
      </c>
      <c r="E207" t="s">
        <v>14</v>
      </c>
      <c r="F207" t="s">
        <v>15</v>
      </c>
      <c r="G207" t="s">
        <v>22</v>
      </c>
      <c r="H207" s="23">
        <v>5838.11</v>
      </c>
      <c r="I207" s="23">
        <v>2506.0500000000002</v>
      </c>
      <c r="J207" s="23">
        <v>46870.76</v>
      </c>
      <c r="K207" s="23">
        <v>1196.3499999999999</v>
      </c>
      <c r="L207" s="10">
        <v>22119913620</v>
      </c>
      <c r="M207" s="9">
        <v>147439751490</v>
      </c>
      <c r="N207" s="12">
        <f xml:space="preserve"> Tb_prod[[#This Row],[Costo_Mantenimiento_CLP]] / Tb_prod[[#This Row],[Dias_Operación_Mes]]</f>
        <v>762755642.06896555</v>
      </c>
      <c r="O207" s="11">
        <f>Tb_prod[[#This Row],[Costo_Operativo_CLP]] / Tb_prod[[#This Row],[Producción_Toneladas]]</f>
        <v>25254705.973337263</v>
      </c>
      <c r="P207">
        <v>244</v>
      </c>
      <c r="Q207">
        <v>29</v>
      </c>
      <c r="R207" s="6">
        <v>45093</v>
      </c>
      <c r="S207" t="str">
        <f t="shared" si="6"/>
        <v>viernes</v>
      </c>
      <c r="T207" t="str">
        <f t="shared" si="7"/>
        <v>junio</v>
      </c>
      <c r="U207">
        <v>81.27</v>
      </c>
      <c r="V207">
        <f xml:space="preserve"> Tb_prod[[#This Row],[Emisiones_CO2_ton]] / Tb_prod[[#This Row],[Cantidad_Empleados]]</f>
        <v>4.9030737704918028</v>
      </c>
      <c r="W207" t="str">
        <f>IF(Tb_prod[[#This Row],[Recuperación_Metal_Porcentaje]]&gt;90,"Alta",IF(Tb_prod[[#This Row],[Recuperación_Metal_Porcentaje]]&gt;75,"Media","Baja"))</f>
        <v>Media</v>
      </c>
      <c r="X207" t="str">
        <f>IF(AND(Tb_prod[[#This Row],[Consumo_Energia_MWh]]&lt;=2000,Tb_prod[[#This Row],[Riesgo_Ambiental]]="Alto"),"Crítica","Normal")</f>
        <v>Normal</v>
      </c>
    </row>
    <row r="208" spans="1:24">
      <c r="A208">
        <v>354</v>
      </c>
      <c r="B208" t="str">
        <f>VLOOKUP(Tb_prod[[#This Row],[Región]],AUX_REGION[],2,0)</f>
        <v>Minera Romero</v>
      </c>
      <c r="C208" t="s">
        <v>12</v>
      </c>
      <c r="D208" t="s">
        <v>23</v>
      </c>
      <c r="E208" t="s">
        <v>14</v>
      </c>
      <c r="F208" t="s">
        <v>24</v>
      </c>
      <c r="G208" t="s">
        <v>22</v>
      </c>
      <c r="H208" s="23">
        <v>4224.6499999999996</v>
      </c>
      <c r="I208" s="23">
        <v>1782.37</v>
      </c>
      <c r="J208" s="23">
        <v>46999.3</v>
      </c>
      <c r="K208" s="23">
        <v>337.19</v>
      </c>
      <c r="L208" s="10">
        <v>27100858770</v>
      </c>
      <c r="M208" s="9">
        <v>103884380100</v>
      </c>
      <c r="N208" s="12">
        <f xml:space="preserve"> Tb_prod[[#This Row],[Costo_Mantenimiento_CLP]] / Tb_prod[[#This Row],[Dias_Operación_Mes]]</f>
        <v>1290517084.2857144</v>
      </c>
      <c r="O208" s="11">
        <f>Tb_prod[[#This Row],[Costo_Operativo_CLP]] / Tb_prod[[#This Row],[Producción_Toneladas]]</f>
        <v>24590056.004639439</v>
      </c>
      <c r="P208">
        <v>262</v>
      </c>
      <c r="Q208">
        <v>21</v>
      </c>
      <c r="R208" s="6">
        <v>45323</v>
      </c>
      <c r="S208" t="str">
        <f t="shared" si="6"/>
        <v>jueves</v>
      </c>
      <c r="T208" t="str">
        <f t="shared" si="7"/>
        <v>febrero</v>
      </c>
      <c r="U208">
        <v>72.760000000000005</v>
      </c>
      <c r="V208">
        <f xml:space="preserve"> Tb_prod[[#This Row],[Emisiones_CO2_ton]] / Tb_prod[[#This Row],[Cantidad_Empleados]]</f>
        <v>1.2869847328244275</v>
      </c>
      <c r="W208" t="str">
        <f>IF(Tb_prod[[#This Row],[Recuperación_Metal_Porcentaje]]&gt;90,"Alta",IF(Tb_prod[[#This Row],[Recuperación_Metal_Porcentaje]]&gt;75,"Media","Baja"))</f>
        <v>Baja</v>
      </c>
      <c r="X208" t="str">
        <f>IF(AND(Tb_prod[[#This Row],[Consumo_Energia_MWh]]&lt;=2000,Tb_prod[[#This Row],[Riesgo_Ambiental]]="Alto"),"Crítica","Normal")</f>
        <v>Normal</v>
      </c>
    </row>
    <row r="209" spans="1:24">
      <c r="A209">
        <v>226</v>
      </c>
      <c r="B209" t="str">
        <f>VLOOKUP(Tb_prod[[#This Row],[Región]],AUX_REGION[],2,0)</f>
        <v>Minera Staff</v>
      </c>
      <c r="C209" t="s">
        <v>27</v>
      </c>
      <c r="D209" t="s">
        <v>13</v>
      </c>
      <c r="E209" t="s">
        <v>19</v>
      </c>
      <c r="F209" t="s">
        <v>24</v>
      </c>
      <c r="G209" t="s">
        <v>20</v>
      </c>
      <c r="H209" s="23">
        <v>3531.85</v>
      </c>
      <c r="I209" s="23">
        <v>2191.6</v>
      </c>
      <c r="J209" s="23">
        <v>47009.89</v>
      </c>
      <c r="K209" s="23">
        <v>1233.93</v>
      </c>
      <c r="L209" s="10">
        <v>36879429600</v>
      </c>
      <c r="M209" s="9">
        <v>68752709010</v>
      </c>
      <c r="N209" s="12">
        <f xml:space="preserve"> Tb_prod[[#This Row],[Costo_Mantenimiento_CLP]] / Tb_prod[[#This Row],[Dias_Operación_Mes]]</f>
        <v>1418439600</v>
      </c>
      <c r="O209" s="11">
        <f>Tb_prod[[#This Row],[Costo_Operativo_CLP]] / Tb_prod[[#This Row],[Producción_Toneladas]]</f>
        <v>19466486.122004051</v>
      </c>
      <c r="P209">
        <v>101</v>
      </c>
      <c r="Q209">
        <v>26</v>
      </c>
      <c r="R209" s="6">
        <v>44941</v>
      </c>
      <c r="S209" t="str">
        <f t="shared" si="6"/>
        <v>domingo</v>
      </c>
      <c r="T209" t="str">
        <f t="shared" si="7"/>
        <v>enero</v>
      </c>
      <c r="U209">
        <v>89.41</v>
      </c>
      <c r="V209">
        <f xml:space="preserve"> Tb_prod[[#This Row],[Emisiones_CO2_ton]] / Tb_prod[[#This Row],[Cantidad_Empleados]]</f>
        <v>12.217128712871288</v>
      </c>
      <c r="W209" t="str">
        <f>IF(Tb_prod[[#This Row],[Recuperación_Metal_Porcentaje]]&gt;90,"Alta",IF(Tb_prod[[#This Row],[Recuperación_Metal_Porcentaje]]&gt;75,"Media","Baja"))</f>
        <v>Media</v>
      </c>
      <c r="X209" t="str">
        <f>IF(AND(Tb_prod[[#This Row],[Consumo_Energia_MWh]]&lt;=2000,Tb_prod[[#This Row],[Riesgo_Ambiental]]="Alto"),"Crítica","Normal")</f>
        <v>Normal</v>
      </c>
    </row>
    <row r="210" spans="1:24">
      <c r="A210">
        <v>212</v>
      </c>
      <c r="B210" t="str">
        <f>VLOOKUP(Tb_prod[[#This Row],[Región]],AUX_REGION[],2,0)</f>
        <v>Minera del Norte</v>
      </c>
      <c r="C210" t="s">
        <v>12</v>
      </c>
      <c r="D210" t="s">
        <v>18</v>
      </c>
      <c r="E210" t="s">
        <v>19</v>
      </c>
      <c r="F210" t="s">
        <v>26</v>
      </c>
      <c r="G210" t="s">
        <v>22</v>
      </c>
      <c r="H210" s="23">
        <v>5703.68</v>
      </c>
      <c r="I210" s="23">
        <v>2366.15</v>
      </c>
      <c r="J210" s="23">
        <v>47063.79</v>
      </c>
      <c r="K210" s="23">
        <v>1487.84</v>
      </c>
      <c r="L210" s="10">
        <v>4356183690</v>
      </c>
      <c r="M210" s="9">
        <v>52792854480</v>
      </c>
      <c r="N210" s="12">
        <f xml:space="preserve"> Tb_prod[[#This Row],[Costo_Mantenimiento_CLP]] / Tb_prod[[#This Row],[Dias_Operación_Mes]]</f>
        <v>174247347.59999999</v>
      </c>
      <c r="O210" s="11">
        <f>Tb_prod[[#This Row],[Costo_Operativo_CLP]] / Tb_prod[[#This Row],[Producción_Toneladas]]</f>
        <v>9255928.537365349</v>
      </c>
      <c r="P210">
        <v>55</v>
      </c>
      <c r="Q210">
        <v>25</v>
      </c>
      <c r="R210" s="6">
        <v>45087</v>
      </c>
      <c r="S210" t="str">
        <f t="shared" si="6"/>
        <v>sábado</v>
      </c>
      <c r="T210" t="str">
        <f t="shared" si="7"/>
        <v>junio</v>
      </c>
      <c r="U210">
        <v>87.63</v>
      </c>
      <c r="V210">
        <f xml:space="preserve"> Tb_prod[[#This Row],[Emisiones_CO2_ton]] / Tb_prod[[#This Row],[Cantidad_Empleados]]</f>
        <v>27.051636363636362</v>
      </c>
      <c r="W210" t="str">
        <f>IF(Tb_prod[[#This Row],[Recuperación_Metal_Porcentaje]]&gt;90,"Alta",IF(Tb_prod[[#This Row],[Recuperación_Metal_Porcentaje]]&gt;75,"Media","Baja"))</f>
        <v>Media</v>
      </c>
      <c r="X210" t="str">
        <f>IF(AND(Tb_prod[[#This Row],[Consumo_Energia_MWh]]&lt;=2000,Tb_prod[[#This Row],[Riesgo_Ambiental]]="Alto"),"Crítica","Normal")</f>
        <v>Normal</v>
      </c>
    </row>
    <row r="211" spans="1:24">
      <c r="A211">
        <v>244</v>
      </c>
      <c r="B211" t="str">
        <f>VLOOKUP(Tb_prod[[#This Row],[Región]],AUX_REGION[],2,0)</f>
        <v>Minera del Norte</v>
      </c>
      <c r="C211" t="s">
        <v>21</v>
      </c>
      <c r="D211" t="s">
        <v>18</v>
      </c>
      <c r="E211" t="s">
        <v>14</v>
      </c>
      <c r="F211" t="s">
        <v>24</v>
      </c>
      <c r="G211" t="s">
        <v>22</v>
      </c>
      <c r="H211" s="23">
        <v>3178.22</v>
      </c>
      <c r="I211" s="23">
        <v>2645.19</v>
      </c>
      <c r="J211" s="23">
        <v>47088.45</v>
      </c>
      <c r="K211" s="23">
        <v>1031.8499999999999</v>
      </c>
      <c r="L211" s="10">
        <v>26330682690</v>
      </c>
      <c r="M211" s="9">
        <v>132768362970</v>
      </c>
      <c r="N211" s="12">
        <f xml:space="preserve"> Tb_prod[[#This Row],[Costo_Mantenimiento_CLP]] / Tb_prod[[#This Row],[Dias_Operación_Mes]]</f>
        <v>1144812290.8695652</v>
      </c>
      <c r="O211" s="11">
        <f>Tb_prod[[#This Row],[Costo_Operativo_CLP]] / Tb_prod[[#This Row],[Producción_Toneladas]]</f>
        <v>41774440.715243123</v>
      </c>
      <c r="P211">
        <v>69</v>
      </c>
      <c r="Q211">
        <v>23</v>
      </c>
      <c r="R211" s="6">
        <v>45996</v>
      </c>
      <c r="S211" t="str">
        <f t="shared" si="6"/>
        <v>viernes</v>
      </c>
      <c r="T211" t="str">
        <f t="shared" si="7"/>
        <v>diciembre</v>
      </c>
      <c r="U211">
        <v>79.28</v>
      </c>
      <c r="V211">
        <f xml:space="preserve"> Tb_prod[[#This Row],[Emisiones_CO2_ton]] / Tb_prod[[#This Row],[Cantidad_Empleados]]</f>
        <v>14.954347826086956</v>
      </c>
      <c r="W211" t="str">
        <f>IF(Tb_prod[[#This Row],[Recuperación_Metal_Porcentaje]]&gt;90,"Alta",IF(Tb_prod[[#This Row],[Recuperación_Metal_Porcentaje]]&gt;75,"Media","Baja"))</f>
        <v>Media</v>
      </c>
      <c r="X211" t="str">
        <f>IF(AND(Tb_prod[[#This Row],[Consumo_Energia_MWh]]&lt;=2000,Tb_prod[[#This Row],[Riesgo_Ambiental]]="Alto"),"Crítica","Normal")</f>
        <v>Normal</v>
      </c>
    </row>
    <row r="212" spans="1:24">
      <c r="A212">
        <v>460</v>
      </c>
      <c r="B212" t="str">
        <f>VLOOKUP(Tb_prod[[#This Row],[Región]],AUX_REGION[],2,0)</f>
        <v>Minera del Norte</v>
      </c>
      <c r="C212" t="s">
        <v>21</v>
      </c>
      <c r="D212" t="s">
        <v>18</v>
      </c>
      <c r="E212" t="s">
        <v>14</v>
      </c>
      <c r="F212" t="s">
        <v>15</v>
      </c>
      <c r="G212" t="s">
        <v>22</v>
      </c>
      <c r="H212" s="23">
        <v>5216.38</v>
      </c>
      <c r="I212" s="23">
        <v>1818.22</v>
      </c>
      <c r="J212" s="23">
        <v>47107.35</v>
      </c>
      <c r="K212" s="23">
        <v>994.45</v>
      </c>
      <c r="L212" s="10">
        <v>33835071600</v>
      </c>
      <c r="M212" s="9">
        <v>48512112840</v>
      </c>
      <c r="N212" s="12">
        <f xml:space="preserve"> Tb_prod[[#This Row],[Costo_Mantenimiento_CLP]] / Tb_prod[[#This Row],[Dias_Operación_Mes]]</f>
        <v>1301348907.6923077</v>
      </c>
      <c r="O212" s="11">
        <f>Tb_prod[[#This Row],[Costo_Operativo_CLP]] / Tb_prod[[#This Row],[Producción_Toneladas]]</f>
        <v>9299957.6027820054</v>
      </c>
      <c r="P212">
        <v>116</v>
      </c>
      <c r="Q212">
        <v>26</v>
      </c>
      <c r="R212" s="6">
        <v>46020</v>
      </c>
      <c r="S212" t="str">
        <f t="shared" si="6"/>
        <v>lunes</v>
      </c>
      <c r="T212" t="str">
        <f t="shared" si="7"/>
        <v>diciembre</v>
      </c>
      <c r="U212">
        <v>78.33</v>
      </c>
      <c r="V212">
        <f xml:space="preserve"> Tb_prod[[#This Row],[Emisiones_CO2_ton]] / Tb_prod[[#This Row],[Cantidad_Empleados]]</f>
        <v>8.5728448275862075</v>
      </c>
      <c r="W212" t="str">
        <f>IF(Tb_prod[[#This Row],[Recuperación_Metal_Porcentaje]]&gt;90,"Alta",IF(Tb_prod[[#This Row],[Recuperación_Metal_Porcentaje]]&gt;75,"Media","Baja"))</f>
        <v>Media</v>
      </c>
      <c r="X212" t="str">
        <f>IF(AND(Tb_prod[[#This Row],[Consumo_Energia_MWh]]&lt;=2000,Tb_prod[[#This Row],[Riesgo_Ambiental]]="Alto"),"Crítica","Normal")</f>
        <v>Normal</v>
      </c>
    </row>
    <row r="213" spans="1:24">
      <c r="A213">
        <v>383</v>
      </c>
      <c r="B213" t="str">
        <f>VLOOKUP(Tb_prod[[#This Row],[Región]],AUX_REGION[],2,0)</f>
        <v>Minera del Norte</v>
      </c>
      <c r="C213" t="s">
        <v>27</v>
      </c>
      <c r="D213" t="s">
        <v>18</v>
      </c>
      <c r="E213" t="s">
        <v>19</v>
      </c>
      <c r="F213" t="s">
        <v>26</v>
      </c>
      <c r="G213" t="s">
        <v>20</v>
      </c>
      <c r="H213" s="23">
        <v>1970.67</v>
      </c>
      <c r="I213" s="23">
        <v>2029.2</v>
      </c>
      <c r="J213" s="23">
        <v>47108.39</v>
      </c>
      <c r="K213" s="23">
        <v>950.27</v>
      </c>
      <c r="L213" s="10">
        <v>96268885454255.906</v>
      </c>
      <c r="M213" s="9">
        <v>68829537240</v>
      </c>
      <c r="N213" s="12">
        <f xml:space="preserve"> Tb_prod[[#This Row],[Costo_Mantenimiento_CLP]] / Tb_prod[[#This Row],[Dias_Operación_Mes]]</f>
        <v>4185603715402.4307</v>
      </c>
      <c r="O213" s="11">
        <f>Tb_prod[[#This Row],[Costo_Operativo_CLP]] / Tb_prod[[#This Row],[Producción_Toneladas]]</f>
        <v>34926972.674268141</v>
      </c>
      <c r="P213">
        <v>205</v>
      </c>
      <c r="Q213">
        <v>23</v>
      </c>
      <c r="R213" s="6">
        <v>44961</v>
      </c>
      <c r="S213" t="str">
        <f t="shared" si="6"/>
        <v>sábado</v>
      </c>
      <c r="T213" t="str">
        <f t="shared" si="7"/>
        <v>febrero</v>
      </c>
      <c r="U213">
        <v>95.68</v>
      </c>
      <c r="V213">
        <f xml:space="preserve"> Tb_prod[[#This Row],[Emisiones_CO2_ton]] / Tb_prod[[#This Row],[Cantidad_Empleados]]</f>
        <v>4.6354634146341462</v>
      </c>
      <c r="W213" t="str">
        <f>IF(Tb_prod[[#This Row],[Recuperación_Metal_Porcentaje]]&gt;90,"Alta",IF(Tb_prod[[#This Row],[Recuperación_Metal_Porcentaje]]&gt;75,"Media","Baja"))</f>
        <v>Alta</v>
      </c>
      <c r="X213" t="str">
        <f>IF(AND(Tb_prod[[#This Row],[Consumo_Energia_MWh]]&lt;=2000,Tb_prod[[#This Row],[Riesgo_Ambiental]]="Alto"),"Crítica","Normal")</f>
        <v>Normal</v>
      </c>
    </row>
    <row r="214" spans="1:24">
      <c r="A214">
        <v>245</v>
      </c>
      <c r="B214" t="str">
        <f>VLOOKUP(Tb_prod[[#This Row],[Región]],AUX_REGION[],2,0)</f>
        <v>Minera del Norte</v>
      </c>
      <c r="C214" t="s">
        <v>21</v>
      </c>
      <c r="D214" t="s">
        <v>18</v>
      </c>
      <c r="E214" t="s">
        <v>19</v>
      </c>
      <c r="F214" t="s">
        <v>15</v>
      </c>
      <c r="G214" t="s">
        <v>16</v>
      </c>
      <c r="H214" s="23">
        <v>5975.42</v>
      </c>
      <c r="I214" s="23">
        <v>1677.39</v>
      </c>
      <c r="J214" s="23">
        <v>47307.41</v>
      </c>
      <c r="K214" s="23">
        <v>902.73</v>
      </c>
      <c r="L214" s="10">
        <v>12565609830</v>
      </c>
      <c r="M214" s="9">
        <v>90706652370</v>
      </c>
      <c r="N214" s="12">
        <f xml:space="preserve"> Tb_prod[[#This Row],[Costo_Mantenimiento_CLP]] / Tb_prod[[#This Row],[Dias_Operación_Mes]]</f>
        <v>598362372.85714281</v>
      </c>
      <c r="O214" s="11">
        <f>Tb_prod[[#This Row],[Costo_Operativo_CLP]] / Tb_prod[[#This Row],[Producción_Toneladas]]</f>
        <v>15179962.641956549</v>
      </c>
      <c r="P214">
        <v>293</v>
      </c>
      <c r="Q214">
        <v>21</v>
      </c>
      <c r="R214" s="6">
        <v>45444</v>
      </c>
      <c r="S214" t="str">
        <f t="shared" si="6"/>
        <v>sábado</v>
      </c>
      <c r="T214" t="str">
        <f t="shared" si="7"/>
        <v>junio</v>
      </c>
      <c r="U214">
        <v>92.13</v>
      </c>
      <c r="V214">
        <f xml:space="preserve"> Tb_prod[[#This Row],[Emisiones_CO2_ton]] / Tb_prod[[#This Row],[Cantidad_Empleados]]</f>
        <v>3.0809897610921504</v>
      </c>
      <c r="W214" t="str">
        <f>IF(Tb_prod[[#This Row],[Recuperación_Metal_Porcentaje]]&gt;90,"Alta",IF(Tb_prod[[#This Row],[Recuperación_Metal_Porcentaje]]&gt;75,"Media","Baja"))</f>
        <v>Alta</v>
      </c>
      <c r="X214" t="str">
        <f>IF(AND(Tb_prod[[#This Row],[Consumo_Energia_MWh]]&lt;=2000,Tb_prod[[#This Row],[Riesgo_Ambiental]]="Alto"),"Crítica","Normal")</f>
        <v>Normal</v>
      </c>
    </row>
    <row r="215" spans="1:24">
      <c r="A215">
        <v>327</v>
      </c>
      <c r="B215" t="str">
        <f>VLOOKUP(Tb_prod[[#This Row],[Región]],AUX_REGION[],2,0)</f>
        <v>Minera del Norte</v>
      </c>
      <c r="C215" t="s">
        <v>21</v>
      </c>
      <c r="D215" t="s">
        <v>18</v>
      </c>
      <c r="E215" t="s">
        <v>14</v>
      </c>
      <c r="F215" t="s">
        <v>26</v>
      </c>
      <c r="G215" t="s">
        <v>16</v>
      </c>
      <c r="H215" s="23">
        <v>5260.86</v>
      </c>
      <c r="I215" s="23">
        <v>1506.13</v>
      </c>
      <c r="J215" s="23">
        <v>47326.21</v>
      </c>
      <c r="K215" s="23">
        <v>1171.56</v>
      </c>
      <c r="L215" s="10">
        <v>44768613510</v>
      </c>
      <c r="M215" s="9">
        <v>133787984670</v>
      </c>
      <c r="N215" s="12">
        <f xml:space="preserve"> Tb_prod[[#This Row],[Costo_Mantenimiento_CLP]] / Tb_prod[[#This Row],[Dias_Operación_Mes]]</f>
        <v>1790744540.4000001</v>
      </c>
      <c r="O215" s="11">
        <f>Tb_prod[[#This Row],[Costo_Operativo_CLP]] / Tb_prod[[#This Row],[Producción_Toneladas]]</f>
        <v>25430820.18339207</v>
      </c>
      <c r="P215">
        <v>64</v>
      </c>
      <c r="Q215">
        <v>25</v>
      </c>
      <c r="R215" s="6">
        <v>45939</v>
      </c>
      <c r="S215" t="str">
        <f t="shared" si="6"/>
        <v>jueves</v>
      </c>
      <c r="T215" t="str">
        <f t="shared" si="7"/>
        <v>octubre</v>
      </c>
      <c r="U215">
        <v>91.13</v>
      </c>
      <c r="V215">
        <f xml:space="preserve"> Tb_prod[[#This Row],[Emisiones_CO2_ton]] / Tb_prod[[#This Row],[Cantidad_Empleados]]</f>
        <v>18.305624999999999</v>
      </c>
      <c r="W215" t="str">
        <f>IF(Tb_prod[[#This Row],[Recuperación_Metal_Porcentaje]]&gt;90,"Alta",IF(Tb_prod[[#This Row],[Recuperación_Metal_Porcentaje]]&gt;75,"Media","Baja"))</f>
        <v>Alta</v>
      </c>
      <c r="X215" t="str">
        <f>IF(AND(Tb_prod[[#This Row],[Consumo_Energia_MWh]]&lt;=2000,Tb_prod[[#This Row],[Riesgo_Ambiental]]="Alto"),"Crítica","Normal")</f>
        <v>Normal</v>
      </c>
    </row>
    <row r="216" spans="1:24">
      <c r="A216">
        <v>477</v>
      </c>
      <c r="B216" t="str">
        <f>VLOOKUP(Tb_prod[[#This Row],[Región]],AUX_REGION[],2,0)</f>
        <v>Minera del Norte</v>
      </c>
      <c r="C216" t="s">
        <v>12</v>
      </c>
      <c r="D216" t="s">
        <v>18</v>
      </c>
      <c r="E216" t="s">
        <v>14</v>
      </c>
      <c r="F216" t="s">
        <v>26</v>
      </c>
      <c r="G216" t="s">
        <v>16</v>
      </c>
      <c r="H216" s="23">
        <v>3877.05</v>
      </c>
      <c r="I216" s="23">
        <v>1606.62</v>
      </c>
      <c r="J216" s="23">
        <v>47433.95</v>
      </c>
      <c r="K216" s="23">
        <v>946.26</v>
      </c>
      <c r="L216" s="10">
        <v>17240902470</v>
      </c>
      <c r="M216" s="9">
        <v>48216211290</v>
      </c>
      <c r="N216" s="12">
        <f xml:space="preserve"> Tb_prod[[#This Row],[Costo_Mantenimiento_CLP]] / Tb_prod[[#This Row],[Dias_Operación_Mes]]</f>
        <v>615746516.78571427</v>
      </c>
      <c r="O216" s="11">
        <f>Tb_prod[[#This Row],[Costo_Operativo_CLP]] / Tb_prod[[#This Row],[Producción_Toneladas]]</f>
        <v>12436314.024838472</v>
      </c>
      <c r="P216">
        <v>264</v>
      </c>
      <c r="Q216">
        <v>28</v>
      </c>
      <c r="R216" s="6">
        <v>45274</v>
      </c>
      <c r="S216" t="str">
        <f t="shared" si="6"/>
        <v>jueves</v>
      </c>
      <c r="T216" t="str">
        <f t="shared" si="7"/>
        <v>diciembre</v>
      </c>
      <c r="U216">
        <v>96.09</v>
      </c>
      <c r="V216">
        <f xml:space="preserve"> Tb_prod[[#This Row],[Emisiones_CO2_ton]] / Tb_prod[[#This Row],[Cantidad_Empleados]]</f>
        <v>3.584318181818182</v>
      </c>
      <c r="W216" t="str">
        <f>IF(Tb_prod[[#This Row],[Recuperación_Metal_Porcentaje]]&gt;90,"Alta",IF(Tb_prod[[#This Row],[Recuperación_Metal_Porcentaje]]&gt;75,"Media","Baja"))</f>
        <v>Alta</v>
      </c>
      <c r="X216" t="str">
        <f>IF(AND(Tb_prod[[#This Row],[Consumo_Energia_MWh]]&lt;=2000,Tb_prod[[#This Row],[Riesgo_Ambiental]]="Alto"),"Crítica","Normal")</f>
        <v>Normal</v>
      </c>
    </row>
    <row r="217" spans="1:24">
      <c r="A217">
        <v>260</v>
      </c>
      <c r="B217" t="str">
        <f>VLOOKUP(Tb_prod[[#This Row],[Región]],AUX_REGION[],2,0)</f>
        <v>Minera Romero</v>
      </c>
      <c r="C217" t="s">
        <v>25</v>
      </c>
      <c r="D217" t="s">
        <v>23</v>
      </c>
      <c r="E217" t="s">
        <v>14</v>
      </c>
      <c r="F217" t="s">
        <v>15</v>
      </c>
      <c r="G217" t="s">
        <v>20</v>
      </c>
      <c r="H217" s="23">
        <v>4288.74</v>
      </c>
      <c r="I217" s="23">
        <v>1818.14</v>
      </c>
      <c r="J217" s="23">
        <v>47624.41</v>
      </c>
      <c r="K217" s="23">
        <v>448.45</v>
      </c>
      <c r="L217" s="10">
        <v>44820900000</v>
      </c>
      <c r="M217" s="9">
        <v>26397537930</v>
      </c>
      <c r="N217" s="12">
        <f xml:space="preserve"> Tb_prod[[#This Row],[Costo_Mantenimiento_CLP]] / Tb_prod[[#This Row],[Dias_Operación_Mes]]</f>
        <v>1792836000</v>
      </c>
      <c r="O217" s="11">
        <f>Tb_prod[[#This Row],[Costo_Operativo_CLP]] / Tb_prod[[#This Row],[Producción_Toneladas]]</f>
        <v>6155080.0304984683</v>
      </c>
      <c r="P217">
        <v>158</v>
      </c>
      <c r="Q217">
        <v>25</v>
      </c>
      <c r="R217" s="6">
        <v>44944</v>
      </c>
      <c r="S217" t="str">
        <f t="shared" si="6"/>
        <v>miércoles</v>
      </c>
      <c r="T217" t="str">
        <f t="shared" si="7"/>
        <v>enero</v>
      </c>
      <c r="U217">
        <v>80.400000000000006</v>
      </c>
      <c r="V217">
        <f xml:space="preserve"> Tb_prod[[#This Row],[Emisiones_CO2_ton]] / Tb_prod[[#This Row],[Cantidad_Empleados]]</f>
        <v>2.8382911392405061</v>
      </c>
      <c r="W217" t="str">
        <f>IF(Tb_prod[[#This Row],[Recuperación_Metal_Porcentaje]]&gt;90,"Alta",IF(Tb_prod[[#This Row],[Recuperación_Metal_Porcentaje]]&gt;75,"Media","Baja"))</f>
        <v>Media</v>
      </c>
      <c r="X217" t="str">
        <f>IF(AND(Tb_prod[[#This Row],[Consumo_Energia_MWh]]&lt;=2000,Tb_prod[[#This Row],[Riesgo_Ambiental]]="Alto"),"Crítica","Normal")</f>
        <v>Crítica</v>
      </c>
    </row>
    <row r="218" spans="1:24">
      <c r="A218">
        <v>111</v>
      </c>
      <c r="B218" t="str">
        <f>VLOOKUP(Tb_prod[[#This Row],[Región]],AUX_REGION[],2,0)</f>
        <v>Minera del Norte</v>
      </c>
      <c r="C218" t="s">
        <v>27</v>
      </c>
      <c r="D218" t="s">
        <v>18</v>
      </c>
      <c r="E218" t="s">
        <v>14</v>
      </c>
      <c r="F218" t="s">
        <v>24</v>
      </c>
      <c r="G218" t="s">
        <v>16</v>
      </c>
      <c r="H218" s="23">
        <v>5187.7299999999996</v>
      </c>
      <c r="I218" s="23">
        <v>2489.67</v>
      </c>
      <c r="J218" s="23">
        <v>47645.74</v>
      </c>
      <c r="K218" s="23">
        <v>1127.3399999999999</v>
      </c>
      <c r="L218" s="10">
        <v>28312710930</v>
      </c>
      <c r="M218" s="9">
        <v>79971845940</v>
      </c>
      <c r="N218" s="12">
        <f xml:space="preserve"> Tb_prod[[#This Row],[Costo_Mantenimiento_CLP]] / Tb_prod[[#This Row],[Dias_Operación_Mes]]</f>
        <v>1230987431.7391305</v>
      </c>
      <c r="O218" s="11">
        <f>Tb_prod[[#This Row],[Costo_Operativo_CLP]] / Tb_prod[[#This Row],[Producción_Toneladas]]</f>
        <v>15415575.972535195</v>
      </c>
      <c r="P218">
        <v>272</v>
      </c>
      <c r="Q218">
        <v>23</v>
      </c>
      <c r="R218" s="6">
        <v>45965</v>
      </c>
      <c r="S218" t="str">
        <f t="shared" si="6"/>
        <v>martes</v>
      </c>
      <c r="T218" t="str">
        <f t="shared" si="7"/>
        <v>noviembre</v>
      </c>
      <c r="U218">
        <v>83.24</v>
      </c>
      <c r="V218">
        <f xml:space="preserve"> Tb_prod[[#This Row],[Emisiones_CO2_ton]] / Tb_prod[[#This Row],[Cantidad_Empleados]]</f>
        <v>4.1446323529411764</v>
      </c>
      <c r="W218" t="str">
        <f>IF(Tb_prod[[#This Row],[Recuperación_Metal_Porcentaje]]&gt;90,"Alta",IF(Tb_prod[[#This Row],[Recuperación_Metal_Porcentaje]]&gt;75,"Media","Baja"))</f>
        <v>Media</v>
      </c>
      <c r="X218" t="str">
        <f>IF(AND(Tb_prod[[#This Row],[Consumo_Energia_MWh]]&lt;=2000,Tb_prod[[#This Row],[Riesgo_Ambiental]]="Alto"),"Crítica","Normal")</f>
        <v>Normal</v>
      </c>
    </row>
    <row r="219" spans="1:24">
      <c r="A219">
        <v>34</v>
      </c>
      <c r="B219" t="str">
        <f>VLOOKUP(Tb_prod[[#This Row],[Región]],AUX_REGION[],2,0)</f>
        <v>Minera Romero</v>
      </c>
      <c r="C219" t="s">
        <v>27</v>
      </c>
      <c r="D219" t="s">
        <v>23</v>
      </c>
      <c r="E219" t="s">
        <v>19</v>
      </c>
      <c r="F219" t="s">
        <v>24</v>
      </c>
      <c r="G219" t="s">
        <v>20</v>
      </c>
      <c r="H219" s="23">
        <v>4457.8100000000004</v>
      </c>
      <c r="I219" s="23">
        <v>2731</v>
      </c>
      <c r="J219" s="23">
        <v>47689.81</v>
      </c>
      <c r="K219" s="23">
        <v>1690.12</v>
      </c>
      <c r="L219" s="10">
        <v>27451061280</v>
      </c>
      <c r="M219" s="9">
        <v>143658797040</v>
      </c>
      <c r="N219" s="12">
        <f xml:space="preserve"> Tb_prod[[#This Row],[Costo_Mantenimiento_CLP]] / Tb_prod[[#This Row],[Dias_Operación_Mes]]</f>
        <v>1055810049.2307693</v>
      </c>
      <c r="O219" s="11">
        <f>Tb_prod[[#This Row],[Costo_Operativo_CLP]] / Tb_prod[[#This Row],[Producción_Toneladas]]</f>
        <v>32226316.742974687</v>
      </c>
      <c r="P219">
        <v>99</v>
      </c>
      <c r="Q219">
        <v>26</v>
      </c>
      <c r="R219" s="6">
        <v>45718</v>
      </c>
      <c r="S219" t="str">
        <f t="shared" si="6"/>
        <v>domingo</v>
      </c>
      <c r="T219" t="str">
        <f t="shared" si="7"/>
        <v>marzo</v>
      </c>
      <c r="U219">
        <v>91.83</v>
      </c>
      <c r="V219">
        <f xml:space="preserve"> Tb_prod[[#This Row],[Emisiones_CO2_ton]] / Tb_prod[[#This Row],[Cantidad_Empleados]]</f>
        <v>17.071919191919189</v>
      </c>
      <c r="W219" t="str">
        <f>IF(Tb_prod[[#This Row],[Recuperación_Metal_Porcentaje]]&gt;90,"Alta",IF(Tb_prod[[#This Row],[Recuperación_Metal_Porcentaje]]&gt;75,"Media","Baja"))</f>
        <v>Alta</v>
      </c>
      <c r="X219" t="str">
        <f>IF(AND(Tb_prod[[#This Row],[Consumo_Energia_MWh]]&lt;=2000,Tb_prod[[#This Row],[Riesgo_Ambiental]]="Alto"),"Crítica","Normal")</f>
        <v>Normal</v>
      </c>
    </row>
    <row r="220" spans="1:24">
      <c r="A220">
        <v>350</v>
      </c>
      <c r="B220" t="str">
        <f>VLOOKUP(Tb_prod[[#This Row],[Región]],AUX_REGION[],2,0)</f>
        <v>Minera Staff</v>
      </c>
      <c r="C220" t="s">
        <v>17</v>
      </c>
      <c r="D220" t="s">
        <v>13</v>
      </c>
      <c r="E220" t="s">
        <v>19</v>
      </c>
      <c r="F220" t="s">
        <v>26</v>
      </c>
      <c r="G220" t="s">
        <v>22</v>
      </c>
      <c r="H220" s="23">
        <v>4109.25</v>
      </c>
      <c r="I220" s="23">
        <v>1986.92</v>
      </c>
      <c r="J220" s="23">
        <v>47727.29</v>
      </c>
      <c r="K220" s="23">
        <v>583.33000000000004</v>
      </c>
      <c r="L220" s="10">
        <v>14948574120</v>
      </c>
      <c r="M220" s="9">
        <v>92260882800</v>
      </c>
      <c r="N220" s="12">
        <f xml:space="preserve"> Tb_prod[[#This Row],[Costo_Mantenimiento_CLP]] / Tb_prod[[#This Row],[Dias_Operación_Mes]]</f>
        <v>622857255</v>
      </c>
      <c r="O220" s="11">
        <f>Tb_prod[[#This Row],[Costo_Operativo_CLP]] / Tb_prod[[#This Row],[Producción_Toneladas]]</f>
        <v>22452000.438036136</v>
      </c>
      <c r="P220">
        <v>274</v>
      </c>
      <c r="Q220">
        <v>24</v>
      </c>
      <c r="R220" s="6">
        <v>45838</v>
      </c>
      <c r="S220" t="str">
        <f t="shared" si="6"/>
        <v>lunes</v>
      </c>
      <c r="T220" t="str">
        <f t="shared" si="7"/>
        <v>junio</v>
      </c>
      <c r="U220">
        <v>98.45</v>
      </c>
      <c r="V220">
        <f xml:space="preserve"> Tb_prod[[#This Row],[Emisiones_CO2_ton]] / Tb_prod[[#This Row],[Cantidad_Empleados]]</f>
        <v>2.1289416058394162</v>
      </c>
      <c r="W220" t="str">
        <f>IF(Tb_prod[[#This Row],[Recuperación_Metal_Porcentaje]]&gt;90,"Alta",IF(Tb_prod[[#This Row],[Recuperación_Metal_Porcentaje]]&gt;75,"Media","Baja"))</f>
        <v>Alta</v>
      </c>
      <c r="X220" t="str">
        <f>IF(AND(Tb_prod[[#This Row],[Consumo_Energia_MWh]]&lt;=2000,Tb_prod[[#This Row],[Riesgo_Ambiental]]="Alto"),"Crítica","Normal")</f>
        <v>Normal</v>
      </c>
    </row>
    <row r="221" spans="1:24">
      <c r="A221">
        <v>150</v>
      </c>
      <c r="B221" t="str">
        <f>VLOOKUP(Tb_prod[[#This Row],[Región]],AUX_REGION[],2,0)</f>
        <v>Minera del Norte</v>
      </c>
      <c r="C221" t="s">
        <v>12</v>
      </c>
      <c r="D221" t="s">
        <v>18</v>
      </c>
      <c r="E221" t="s">
        <v>19</v>
      </c>
      <c r="F221" t="s">
        <v>24</v>
      </c>
      <c r="G221" t="s">
        <v>16</v>
      </c>
      <c r="H221" s="23">
        <v>3944.16</v>
      </c>
      <c r="I221" s="23">
        <v>1913.16</v>
      </c>
      <c r="J221" s="23">
        <v>47815.11</v>
      </c>
      <c r="K221" s="23">
        <v>1152.1199999999999</v>
      </c>
      <c r="L221" s="10">
        <v>3818413170</v>
      </c>
      <c r="M221" s="9">
        <v>106881497100</v>
      </c>
      <c r="N221" s="12">
        <f xml:space="preserve"> Tb_prod[[#This Row],[Costo_Mantenimiento_CLP]] / Tb_prod[[#This Row],[Dias_Operación_Mes]]</f>
        <v>173564235</v>
      </c>
      <c r="O221" s="11">
        <f>Tb_prod[[#This Row],[Costo_Operativo_CLP]] / Tb_prod[[#This Row],[Producción_Toneladas]]</f>
        <v>27098671.732384082</v>
      </c>
      <c r="P221">
        <v>125</v>
      </c>
      <c r="Q221">
        <v>22</v>
      </c>
      <c r="R221" s="6">
        <v>46003</v>
      </c>
      <c r="S221" t="str">
        <f t="shared" si="6"/>
        <v>viernes</v>
      </c>
      <c r="T221" t="str">
        <f t="shared" si="7"/>
        <v>diciembre</v>
      </c>
      <c r="U221">
        <v>96.83</v>
      </c>
      <c r="V221">
        <f xml:space="preserve"> Tb_prod[[#This Row],[Emisiones_CO2_ton]] / Tb_prod[[#This Row],[Cantidad_Empleados]]</f>
        <v>9.2169599999999985</v>
      </c>
      <c r="W221" t="str">
        <f>IF(Tb_prod[[#This Row],[Recuperación_Metal_Porcentaje]]&gt;90,"Alta",IF(Tb_prod[[#This Row],[Recuperación_Metal_Porcentaje]]&gt;75,"Media","Baja"))</f>
        <v>Alta</v>
      </c>
      <c r="X221" t="str">
        <f>IF(AND(Tb_prod[[#This Row],[Consumo_Energia_MWh]]&lt;=2000,Tb_prod[[#This Row],[Riesgo_Ambiental]]="Alto"),"Crítica","Normal")</f>
        <v>Normal</v>
      </c>
    </row>
    <row r="222" spans="1:24">
      <c r="A222">
        <v>453</v>
      </c>
      <c r="B222" t="str">
        <f>VLOOKUP(Tb_prod[[#This Row],[Región]],AUX_REGION[],2,0)</f>
        <v>Minera del Norte</v>
      </c>
      <c r="C222" t="s">
        <v>17</v>
      </c>
      <c r="D222" t="s">
        <v>18</v>
      </c>
      <c r="E222" t="s">
        <v>14</v>
      </c>
      <c r="F222" t="s">
        <v>24</v>
      </c>
      <c r="G222" t="s">
        <v>16</v>
      </c>
      <c r="H222" s="23">
        <v>4632.8</v>
      </c>
      <c r="I222" s="23">
        <v>1656.62</v>
      </c>
      <c r="J222" s="23">
        <v>47834.1</v>
      </c>
      <c r="K222" s="23">
        <v>553.91999999999996</v>
      </c>
      <c r="L222" s="10">
        <v>24450842520</v>
      </c>
      <c r="M222" s="9">
        <v>140835725280</v>
      </c>
      <c r="N222" s="12">
        <f xml:space="preserve"> Tb_prod[[#This Row],[Costo_Mantenimiento_CLP]] / Tb_prod[[#This Row],[Dias_Operación_Mes]]</f>
        <v>978033700.79999995</v>
      </c>
      <c r="O222" s="11">
        <f>Tb_prod[[#This Row],[Costo_Operativo_CLP]] / Tb_prod[[#This Row],[Producción_Toneladas]]</f>
        <v>30399698.946641337</v>
      </c>
      <c r="P222">
        <v>122</v>
      </c>
      <c r="Q222">
        <v>25</v>
      </c>
      <c r="R222" s="6">
        <v>45721</v>
      </c>
      <c r="S222" t="str">
        <f t="shared" si="6"/>
        <v>miércoles</v>
      </c>
      <c r="T222" t="str">
        <f t="shared" si="7"/>
        <v>marzo</v>
      </c>
      <c r="U222">
        <v>82.04</v>
      </c>
      <c r="V222">
        <f xml:space="preserve"> Tb_prod[[#This Row],[Emisiones_CO2_ton]] / Tb_prod[[#This Row],[Cantidad_Empleados]]</f>
        <v>4.5403278688524589</v>
      </c>
      <c r="W222" t="str">
        <f>IF(Tb_prod[[#This Row],[Recuperación_Metal_Porcentaje]]&gt;90,"Alta",IF(Tb_prod[[#This Row],[Recuperación_Metal_Porcentaje]]&gt;75,"Media","Baja"))</f>
        <v>Media</v>
      </c>
      <c r="X222" t="str">
        <f>IF(AND(Tb_prod[[#This Row],[Consumo_Energia_MWh]]&lt;=2000,Tb_prod[[#This Row],[Riesgo_Ambiental]]="Alto"),"Crítica","Normal")</f>
        <v>Normal</v>
      </c>
    </row>
    <row r="223" spans="1:24">
      <c r="A223">
        <v>232</v>
      </c>
      <c r="B223" t="str">
        <f>VLOOKUP(Tb_prod[[#This Row],[Región]],AUX_REGION[],2,0)</f>
        <v>Minera del Norte</v>
      </c>
      <c r="C223" t="s">
        <v>27</v>
      </c>
      <c r="D223" t="s">
        <v>18</v>
      </c>
      <c r="E223" t="s">
        <v>14</v>
      </c>
      <c r="F223" t="s">
        <v>24</v>
      </c>
      <c r="G223" t="s">
        <v>22</v>
      </c>
      <c r="H223" s="23">
        <v>6291.69</v>
      </c>
      <c r="I223" s="23">
        <v>-10.97</v>
      </c>
      <c r="J223" s="23">
        <v>47942.52</v>
      </c>
      <c r="K223" s="23">
        <v>1037.71</v>
      </c>
      <c r="L223" s="10">
        <v>14316453900</v>
      </c>
      <c r="M223" s="9">
        <v>136760399640</v>
      </c>
      <c r="N223" s="12">
        <f xml:space="preserve"> Tb_prod[[#This Row],[Costo_Mantenimiento_CLP]] / Tb_prod[[#This Row],[Dias_Operación_Mes]]</f>
        <v>511301925</v>
      </c>
      <c r="O223" s="11">
        <f>Tb_prod[[#This Row],[Costo_Operativo_CLP]] / Tb_prod[[#This Row],[Producción_Toneladas]]</f>
        <v>21736671.647840247</v>
      </c>
      <c r="P223">
        <v>299</v>
      </c>
      <c r="Q223">
        <v>28</v>
      </c>
      <c r="R223" s="6">
        <v>45962</v>
      </c>
      <c r="S223" t="str">
        <f t="shared" si="6"/>
        <v>sábado</v>
      </c>
      <c r="T223" t="str">
        <f t="shared" si="7"/>
        <v>noviembre</v>
      </c>
      <c r="U223">
        <v>96.61</v>
      </c>
      <c r="V223">
        <f xml:space="preserve"> Tb_prod[[#This Row],[Emisiones_CO2_ton]] / Tb_prod[[#This Row],[Cantidad_Empleados]]</f>
        <v>3.4706020066889631</v>
      </c>
      <c r="W223" t="str">
        <f>IF(Tb_prod[[#This Row],[Recuperación_Metal_Porcentaje]]&gt;90,"Alta",IF(Tb_prod[[#This Row],[Recuperación_Metal_Porcentaje]]&gt;75,"Media","Baja"))</f>
        <v>Alta</v>
      </c>
      <c r="X223" t="str">
        <f>IF(AND(Tb_prod[[#This Row],[Consumo_Energia_MWh]]&lt;=2000,Tb_prod[[#This Row],[Riesgo_Ambiental]]="Alto"),"Crítica","Normal")</f>
        <v>Normal</v>
      </c>
    </row>
    <row r="224" spans="1:24">
      <c r="A224">
        <v>262</v>
      </c>
      <c r="B224" t="str">
        <f>VLOOKUP(Tb_prod[[#This Row],[Región]],AUX_REGION[],2,0)</f>
        <v>Minera Staff</v>
      </c>
      <c r="C224" t="s">
        <v>21</v>
      </c>
      <c r="D224" t="s">
        <v>13</v>
      </c>
      <c r="E224" t="s">
        <v>14</v>
      </c>
      <c r="F224" t="s">
        <v>26</v>
      </c>
      <c r="G224" t="s">
        <v>16</v>
      </c>
      <c r="H224" s="23">
        <v>4444.74</v>
      </c>
      <c r="I224" s="23">
        <v>2469.5</v>
      </c>
      <c r="J224" s="23">
        <v>47973.279999999999</v>
      </c>
      <c r="K224" s="23">
        <v>465.19</v>
      </c>
      <c r="L224" s="10">
        <v>31029547140</v>
      </c>
      <c r="M224" s="9">
        <v>153218119680</v>
      </c>
      <c r="N224" s="12">
        <f xml:space="preserve"> Tb_prod[[#This Row],[Costo_Mantenimiento_CLP]] / Tb_prod[[#This Row],[Dias_Operación_Mes]]</f>
        <v>1034318238</v>
      </c>
      <c r="O224" s="11">
        <f>Tb_prod[[#This Row],[Costo_Operativo_CLP]] / Tb_prod[[#This Row],[Producción_Toneladas]]</f>
        <v>34471784.554327138</v>
      </c>
      <c r="P224">
        <v>223</v>
      </c>
      <c r="Q224">
        <v>30</v>
      </c>
      <c r="R224" s="6">
        <v>45695</v>
      </c>
      <c r="S224" t="str">
        <f t="shared" si="6"/>
        <v>viernes</v>
      </c>
      <c r="T224" t="str">
        <f t="shared" si="7"/>
        <v>febrero</v>
      </c>
      <c r="U224">
        <v>86.95</v>
      </c>
      <c r="V224">
        <f xml:space="preserve"> Tb_prod[[#This Row],[Emisiones_CO2_ton]] / Tb_prod[[#This Row],[Cantidad_Empleados]]</f>
        <v>2.0860538116591929</v>
      </c>
      <c r="W224" t="str">
        <f>IF(Tb_prod[[#This Row],[Recuperación_Metal_Porcentaje]]&gt;90,"Alta",IF(Tb_prod[[#This Row],[Recuperación_Metal_Porcentaje]]&gt;75,"Media","Baja"))</f>
        <v>Media</v>
      </c>
      <c r="X224" t="str">
        <f>IF(AND(Tb_prod[[#This Row],[Consumo_Energia_MWh]]&lt;=2000,Tb_prod[[#This Row],[Riesgo_Ambiental]]="Alto"),"Crítica","Normal")</f>
        <v>Normal</v>
      </c>
    </row>
    <row r="225" spans="1:24">
      <c r="A225">
        <v>359</v>
      </c>
      <c r="B225" t="str">
        <f>VLOOKUP(Tb_prod[[#This Row],[Región]],AUX_REGION[],2,0)</f>
        <v>Minera Romero</v>
      </c>
      <c r="C225" t="s">
        <v>27</v>
      </c>
      <c r="D225" t="s">
        <v>23</v>
      </c>
      <c r="E225" t="s">
        <v>19</v>
      </c>
      <c r="F225" t="s">
        <v>24</v>
      </c>
      <c r="G225" t="s">
        <v>22</v>
      </c>
      <c r="H225" s="23">
        <v>5270.97</v>
      </c>
      <c r="I225" s="23">
        <v>1701.5</v>
      </c>
      <c r="J225" s="23">
        <v>48002.27</v>
      </c>
      <c r="K225" s="23">
        <v>759.71</v>
      </c>
      <c r="L225" s="10">
        <v>24018426360</v>
      </c>
      <c r="M225" s="9">
        <v>67373845740</v>
      </c>
      <c r="N225" s="12">
        <f xml:space="preserve"> Tb_prod[[#This Row],[Costo_Mantenimiento_CLP]] / Tb_prod[[#This Row],[Dias_Operación_Mes]]</f>
        <v>1044279406.9565217</v>
      </c>
      <c r="O225" s="11">
        <f>Tb_prod[[#This Row],[Costo_Operativo_CLP]] / Tb_prod[[#This Row],[Producción_Toneladas]]</f>
        <v>12782058.281492779</v>
      </c>
      <c r="P225">
        <v>183</v>
      </c>
      <c r="Q225">
        <v>23</v>
      </c>
      <c r="R225" s="6">
        <v>45728</v>
      </c>
      <c r="S225" t="str">
        <f t="shared" si="6"/>
        <v>miércoles</v>
      </c>
      <c r="T225" t="str">
        <f t="shared" si="7"/>
        <v>marzo</v>
      </c>
      <c r="U225">
        <v>89.51</v>
      </c>
      <c r="V225">
        <f xml:space="preserve"> Tb_prod[[#This Row],[Emisiones_CO2_ton]] / Tb_prod[[#This Row],[Cantidad_Empleados]]</f>
        <v>4.1514207650273223</v>
      </c>
      <c r="W225" t="str">
        <f>IF(Tb_prod[[#This Row],[Recuperación_Metal_Porcentaje]]&gt;90,"Alta",IF(Tb_prod[[#This Row],[Recuperación_Metal_Porcentaje]]&gt;75,"Media","Baja"))</f>
        <v>Media</v>
      </c>
      <c r="X225" t="str">
        <f>IF(AND(Tb_prod[[#This Row],[Consumo_Energia_MWh]]&lt;=2000,Tb_prod[[#This Row],[Riesgo_Ambiental]]="Alto"),"Crítica","Normal")</f>
        <v>Normal</v>
      </c>
    </row>
    <row r="226" spans="1:24">
      <c r="A226">
        <v>343</v>
      </c>
      <c r="B226" t="str">
        <f>VLOOKUP(Tb_prod[[#This Row],[Región]],AUX_REGION[],2,0)</f>
        <v>Minera Romero</v>
      </c>
      <c r="C226" t="s">
        <v>21</v>
      </c>
      <c r="D226" t="s">
        <v>23</v>
      </c>
      <c r="E226" t="s">
        <v>19</v>
      </c>
      <c r="F226" t="s">
        <v>26</v>
      </c>
      <c r="G226" t="s">
        <v>22</v>
      </c>
      <c r="H226" s="23">
        <v>5641.81</v>
      </c>
      <c r="I226" s="23">
        <v>1926.09</v>
      </c>
      <c r="J226" s="23">
        <v>48027.31</v>
      </c>
      <c r="K226" s="23">
        <v>960.86</v>
      </c>
      <c r="L226" s="10">
        <v>41115653190</v>
      </c>
      <c r="M226" s="9">
        <v>114717844800</v>
      </c>
      <c r="N226" s="12">
        <f xml:space="preserve"> Tb_prod[[#This Row],[Costo_Mantenimiento_CLP]] / Tb_prod[[#This Row],[Dias_Operación_Mes]]</f>
        <v>1787637095.2173913</v>
      </c>
      <c r="O226" s="11">
        <f>Tb_prod[[#This Row],[Costo_Operativo_CLP]] / Tb_prod[[#This Row],[Producción_Toneladas]]</f>
        <v>20333517.931302186</v>
      </c>
      <c r="P226">
        <v>239</v>
      </c>
      <c r="Q226">
        <v>23</v>
      </c>
      <c r="R226" s="6">
        <v>46019</v>
      </c>
      <c r="S226" t="str">
        <f t="shared" si="6"/>
        <v>domingo</v>
      </c>
      <c r="T226" t="str">
        <f t="shared" si="7"/>
        <v>diciembre</v>
      </c>
      <c r="U226">
        <v>88</v>
      </c>
      <c r="V226">
        <f xml:space="preserve"> Tb_prod[[#This Row],[Emisiones_CO2_ton]] / Tb_prod[[#This Row],[Cantidad_Empleados]]</f>
        <v>4.0203347280334727</v>
      </c>
      <c r="W226" t="str">
        <f>IF(Tb_prod[[#This Row],[Recuperación_Metal_Porcentaje]]&gt;90,"Alta",IF(Tb_prod[[#This Row],[Recuperación_Metal_Porcentaje]]&gt;75,"Media","Baja"))</f>
        <v>Media</v>
      </c>
      <c r="X226" t="str">
        <f>IF(AND(Tb_prod[[#This Row],[Consumo_Energia_MWh]]&lt;=2000,Tb_prod[[#This Row],[Riesgo_Ambiental]]="Alto"),"Crítica","Normal")</f>
        <v>Normal</v>
      </c>
    </row>
    <row r="227" spans="1:24">
      <c r="A227">
        <v>352</v>
      </c>
      <c r="B227" t="str">
        <f>VLOOKUP(Tb_prod[[#This Row],[Región]],AUX_REGION[],2,0)</f>
        <v>Minera Staff</v>
      </c>
      <c r="C227" t="s">
        <v>25</v>
      </c>
      <c r="D227" t="s">
        <v>13</v>
      </c>
      <c r="E227" t="s">
        <v>14</v>
      </c>
      <c r="F227" t="s">
        <v>24</v>
      </c>
      <c r="G227" t="s">
        <v>16</v>
      </c>
      <c r="H227" s="23">
        <v>4959.8100000000004</v>
      </c>
      <c r="I227" s="23">
        <v>2874.42</v>
      </c>
      <c r="J227" s="23">
        <v>48085.22</v>
      </c>
      <c r="K227" s="23">
        <v>826.28</v>
      </c>
      <c r="L227" s="10">
        <v>32272562700</v>
      </c>
      <c r="M227" s="9">
        <v>48293800920</v>
      </c>
      <c r="N227" s="12">
        <f xml:space="preserve"> Tb_prod[[#This Row],[Costo_Mantenimiento_CLP]] / Tb_prod[[#This Row],[Dias_Operación_Mes]]</f>
        <v>1112846989.6551723</v>
      </c>
      <c r="O227" s="11">
        <f>Tb_prod[[#This Row],[Costo_Operativo_CLP]] / Tb_prod[[#This Row],[Producción_Toneladas]]</f>
        <v>9737026.402221052</v>
      </c>
      <c r="P227">
        <v>299</v>
      </c>
      <c r="Q227">
        <v>29</v>
      </c>
      <c r="R227" s="6">
        <v>45400</v>
      </c>
      <c r="S227" t="str">
        <f t="shared" si="6"/>
        <v>jueves</v>
      </c>
      <c r="T227" t="str">
        <f t="shared" si="7"/>
        <v>abril</v>
      </c>
      <c r="U227">
        <v>73.42</v>
      </c>
      <c r="V227">
        <f xml:space="preserve"> Tb_prod[[#This Row],[Emisiones_CO2_ton]] / Tb_prod[[#This Row],[Cantidad_Empleados]]</f>
        <v>2.7634782608695652</v>
      </c>
      <c r="W227" t="str">
        <f>IF(Tb_prod[[#This Row],[Recuperación_Metal_Porcentaje]]&gt;90,"Alta",IF(Tb_prod[[#This Row],[Recuperación_Metal_Porcentaje]]&gt;75,"Media","Baja"))</f>
        <v>Baja</v>
      </c>
      <c r="X227" t="str">
        <f>IF(AND(Tb_prod[[#This Row],[Consumo_Energia_MWh]]&lt;=2000,Tb_prod[[#This Row],[Riesgo_Ambiental]]="Alto"),"Crítica","Normal")</f>
        <v>Normal</v>
      </c>
    </row>
    <row r="228" spans="1:24">
      <c r="A228">
        <v>437</v>
      </c>
      <c r="B228" t="str">
        <f>VLOOKUP(Tb_prod[[#This Row],[Región]],AUX_REGION[],2,0)</f>
        <v>Minera Staff</v>
      </c>
      <c r="C228" t="s">
        <v>25</v>
      </c>
      <c r="D228" t="s">
        <v>13</v>
      </c>
      <c r="E228" t="s">
        <v>19</v>
      </c>
      <c r="F228" t="s">
        <v>15</v>
      </c>
      <c r="G228" t="s">
        <v>22</v>
      </c>
      <c r="H228" s="23">
        <v>8819.07</v>
      </c>
      <c r="I228" s="23">
        <v>1865.45</v>
      </c>
      <c r="J228" s="23">
        <v>48095.92</v>
      </c>
      <c r="K228" s="23">
        <v>768.83</v>
      </c>
      <c r="L228" s="10">
        <v>34121105370</v>
      </c>
      <c r="M228" s="9">
        <v>77857115850</v>
      </c>
      <c r="N228" s="12">
        <f xml:space="preserve"> Tb_prod[[#This Row],[Costo_Mantenimiento_CLP]] / Tb_prod[[#This Row],[Dias_Operación_Mes]]</f>
        <v>1218610906.0714285</v>
      </c>
      <c r="O228" s="11">
        <f>Tb_prod[[#This Row],[Costo_Operativo_CLP]] / Tb_prod[[#This Row],[Producción_Toneladas]]</f>
        <v>8828268.269783549</v>
      </c>
      <c r="P228">
        <v>160</v>
      </c>
      <c r="Q228">
        <v>28</v>
      </c>
      <c r="R228" s="6">
        <v>45035</v>
      </c>
      <c r="S228" t="str">
        <f t="shared" si="6"/>
        <v>miércoles</v>
      </c>
      <c r="T228" t="str">
        <f t="shared" si="7"/>
        <v>abril</v>
      </c>
      <c r="U228">
        <v>80.290000000000006</v>
      </c>
      <c r="V228">
        <f xml:space="preserve"> Tb_prod[[#This Row],[Emisiones_CO2_ton]] / Tb_prod[[#This Row],[Cantidad_Empleados]]</f>
        <v>4.8051875000000006</v>
      </c>
      <c r="W228" t="str">
        <f>IF(Tb_prod[[#This Row],[Recuperación_Metal_Porcentaje]]&gt;90,"Alta",IF(Tb_prod[[#This Row],[Recuperación_Metal_Porcentaje]]&gt;75,"Media","Baja"))</f>
        <v>Media</v>
      </c>
      <c r="X228" t="str">
        <f>IF(AND(Tb_prod[[#This Row],[Consumo_Energia_MWh]]&lt;=2000,Tb_prod[[#This Row],[Riesgo_Ambiental]]="Alto"),"Crítica","Normal")</f>
        <v>Normal</v>
      </c>
    </row>
    <row r="229" spans="1:24">
      <c r="A229">
        <v>96</v>
      </c>
      <c r="B229" t="str">
        <f>VLOOKUP(Tb_prod[[#This Row],[Región]],AUX_REGION[],2,0)</f>
        <v>Minera del Norte</v>
      </c>
      <c r="C229" t="s">
        <v>21</v>
      </c>
      <c r="D229" t="s">
        <v>18</v>
      </c>
      <c r="E229" t="s">
        <v>14</v>
      </c>
      <c r="F229" t="s">
        <v>26</v>
      </c>
      <c r="G229" t="s">
        <v>16</v>
      </c>
      <c r="H229" s="23">
        <v>5857.22</v>
      </c>
      <c r="I229" s="23">
        <v>3619.83</v>
      </c>
      <c r="J229" s="23">
        <v>48144.63</v>
      </c>
      <c r="K229" s="23">
        <v>1210.8900000000001</v>
      </c>
      <c r="L229" s="10">
        <v>1383951259738.8899</v>
      </c>
      <c r="M229" s="9">
        <v>24122037960</v>
      </c>
      <c r="N229" s="12">
        <f xml:space="preserve"> Tb_prod[[#This Row],[Costo_Mantenimiento_CLP]] / Tb_prod[[#This Row],[Dias_Operación_Mes]]</f>
        <v>69197562986.944489</v>
      </c>
      <c r="O229" s="11">
        <f>Tb_prod[[#This Row],[Costo_Operativo_CLP]] / Tb_prod[[#This Row],[Producción_Toneladas]]</f>
        <v>4118342.4832941224</v>
      </c>
      <c r="P229">
        <v>59</v>
      </c>
      <c r="Q229">
        <v>20</v>
      </c>
      <c r="R229" s="6">
        <v>45731</v>
      </c>
      <c r="S229" t="str">
        <f t="shared" si="6"/>
        <v>sábado</v>
      </c>
      <c r="T229" t="str">
        <f t="shared" si="7"/>
        <v>marzo</v>
      </c>
      <c r="U229">
        <v>95.2</v>
      </c>
      <c r="V229">
        <f xml:space="preserve"> Tb_prod[[#This Row],[Emisiones_CO2_ton]] / Tb_prod[[#This Row],[Cantidad_Empleados]]</f>
        <v>20.523559322033901</v>
      </c>
      <c r="W229" t="str">
        <f>IF(Tb_prod[[#This Row],[Recuperación_Metal_Porcentaje]]&gt;90,"Alta",IF(Tb_prod[[#This Row],[Recuperación_Metal_Porcentaje]]&gt;75,"Media","Baja"))</f>
        <v>Alta</v>
      </c>
      <c r="X229" t="str">
        <f>IF(AND(Tb_prod[[#This Row],[Consumo_Energia_MWh]]&lt;=2000,Tb_prod[[#This Row],[Riesgo_Ambiental]]="Alto"),"Crítica","Normal")</f>
        <v>Normal</v>
      </c>
    </row>
    <row r="230" spans="1:24">
      <c r="A230">
        <v>459</v>
      </c>
      <c r="B230" t="str">
        <f>VLOOKUP(Tb_prod[[#This Row],[Región]],AUX_REGION[],2,0)</f>
        <v>Minera Staff</v>
      </c>
      <c r="C230" t="s">
        <v>25</v>
      </c>
      <c r="D230" t="s">
        <v>13</v>
      </c>
      <c r="E230" t="s">
        <v>14</v>
      </c>
      <c r="F230" t="s">
        <v>26</v>
      </c>
      <c r="G230" t="s">
        <v>16</v>
      </c>
      <c r="H230" s="23">
        <v>3032.24</v>
      </c>
      <c r="I230" s="23">
        <v>1970.37</v>
      </c>
      <c r="J230" s="23">
        <v>48157.86</v>
      </c>
      <c r="K230" s="23">
        <v>1342.26</v>
      </c>
      <c r="L230" s="10">
        <v>33568607610</v>
      </c>
      <c r="M230" s="9">
        <v>132430839210</v>
      </c>
      <c r="N230" s="12">
        <f xml:space="preserve"> Tb_prod[[#This Row],[Costo_Mantenimiento_CLP]] / Tb_prod[[#This Row],[Dias_Operación_Mes]]</f>
        <v>1459504678.6956522</v>
      </c>
      <c r="O230" s="11">
        <f>Tb_prod[[#This Row],[Costo_Operativo_CLP]] / Tb_prod[[#This Row],[Producción_Toneladas]]</f>
        <v>43674260.352082953</v>
      </c>
      <c r="P230">
        <v>260</v>
      </c>
      <c r="Q230">
        <v>23</v>
      </c>
      <c r="R230" s="6">
        <v>45143</v>
      </c>
      <c r="S230" t="str">
        <f t="shared" si="6"/>
        <v>sábado</v>
      </c>
      <c r="T230" t="str">
        <f t="shared" si="7"/>
        <v>agosto</v>
      </c>
      <c r="U230">
        <v>95.86</v>
      </c>
      <c r="V230">
        <f xml:space="preserve"> Tb_prod[[#This Row],[Emisiones_CO2_ton]] / Tb_prod[[#This Row],[Cantidad_Empleados]]</f>
        <v>5.1625384615384613</v>
      </c>
      <c r="W230" t="str">
        <f>IF(Tb_prod[[#This Row],[Recuperación_Metal_Porcentaje]]&gt;90,"Alta",IF(Tb_prod[[#This Row],[Recuperación_Metal_Porcentaje]]&gt;75,"Media","Baja"))</f>
        <v>Alta</v>
      </c>
      <c r="X230" t="str">
        <f>IF(AND(Tb_prod[[#This Row],[Consumo_Energia_MWh]]&lt;=2000,Tb_prod[[#This Row],[Riesgo_Ambiental]]="Alto"),"Crítica","Normal")</f>
        <v>Normal</v>
      </c>
    </row>
    <row r="231" spans="1:24">
      <c r="A231">
        <v>93</v>
      </c>
      <c r="B231" t="str">
        <f>VLOOKUP(Tb_prod[[#This Row],[Región]],AUX_REGION[],2,0)</f>
        <v>Minera Romero</v>
      </c>
      <c r="C231" t="s">
        <v>21</v>
      </c>
      <c r="D231" t="s">
        <v>23</v>
      </c>
      <c r="E231" t="s">
        <v>19</v>
      </c>
      <c r="F231" t="s">
        <v>15</v>
      </c>
      <c r="G231" t="s">
        <v>20</v>
      </c>
      <c r="H231" s="23">
        <v>5702.85</v>
      </c>
      <c r="I231" s="23">
        <v>1236.31</v>
      </c>
      <c r="J231" s="23">
        <v>48192.31</v>
      </c>
      <c r="K231" s="23">
        <v>890.05</v>
      </c>
      <c r="L231" s="10">
        <v>30420985500</v>
      </c>
      <c r="M231" s="9">
        <v>30121898490</v>
      </c>
      <c r="N231" s="12">
        <f xml:space="preserve"> Tb_prod[[#This Row],[Costo_Mantenimiento_CLP]] / Tb_prod[[#This Row],[Dias_Operación_Mes]]</f>
        <v>1126703166.6666667</v>
      </c>
      <c r="O231" s="11">
        <f>Tb_prod[[#This Row],[Costo_Operativo_CLP]] / Tb_prod[[#This Row],[Producción_Toneladas]]</f>
        <v>5281902.6434151344</v>
      </c>
      <c r="P231">
        <v>246</v>
      </c>
      <c r="Q231">
        <v>27</v>
      </c>
      <c r="R231" s="6">
        <v>45752</v>
      </c>
      <c r="S231" t="str">
        <f t="shared" si="6"/>
        <v>sábado</v>
      </c>
      <c r="T231" t="str">
        <f t="shared" si="7"/>
        <v>abril</v>
      </c>
      <c r="U231">
        <v>82.8</v>
      </c>
      <c r="V231">
        <f xml:space="preserve"> Tb_prod[[#This Row],[Emisiones_CO2_ton]] / Tb_prod[[#This Row],[Cantidad_Empleados]]</f>
        <v>3.6180894308943086</v>
      </c>
      <c r="W231" t="str">
        <f>IF(Tb_prod[[#This Row],[Recuperación_Metal_Porcentaje]]&gt;90,"Alta",IF(Tb_prod[[#This Row],[Recuperación_Metal_Porcentaje]]&gt;75,"Media","Baja"))</f>
        <v>Media</v>
      </c>
      <c r="X231" t="str">
        <f>IF(AND(Tb_prod[[#This Row],[Consumo_Energia_MWh]]&lt;=2000,Tb_prod[[#This Row],[Riesgo_Ambiental]]="Alto"),"Crítica","Normal")</f>
        <v>Crítica</v>
      </c>
    </row>
    <row r="232" spans="1:24">
      <c r="A232">
        <v>170</v>
      </c>
      <c r="B232" t="str">
        <f>VLOOKUP(Tb_prod[[#This Row],[Región]],AUX_REGION[],2,0)</f>
        <v>Minera del Norte</v>
      </c>
      <c r="C232" t="s">
        <v>12</v>
      </c>
      <c r="D232" t="s">
        <v>18</v>
      </c>
      <c r="E232" t="s">
        <v>19</v>
      </c>
      <c r="F232" t="s">
        <v>15</v>
      </c>
      <c r="G232" t="s">
        <v>16</v>
      </c>
      <c r="H232" s="23">
        <v>5161.5200000000004</v>
      </c>
      <c r="I232" s="23">
        <v>2121.02</v>
      </c>
      <c r="J232" s="23">
        <v>48229.77</v>
      </c>
      <c r="K232" s="23">
        <v>1404</v>
      </c>
      <c r="L232" s="10">
        <v>38018373300</v>
      </c>
      <c r="M232" s="9">
        <v>179614687320</v>
      </c>
      <c r="N232" s="12">
        <f xml:space="preserve"> Tb_prod[[#This Row],[Costo_Mantenimiento_CLP]] / Tb_prod[[#This Row],[Dias_Operación_Mes]]</f>
        <v>1584098887.5</v>
      </c>
      <c r="O232" s="11">
        <f>Tb_prod[[#This Row],[Costo_Operativo_CLP]] / Tb_prod[[#This Row],[Producción_Toneladas]]</f>
        <v>34798797.121778078</v>
      </c>
      <c r="P232">
        <v>158</v>
      </c>
      <c r="Q232">
        <v>24</v>
      </c>
      <c r="R232" s="6">
        <v>45881</v>
      </c>
      <c r="S232" t="str">
        <f t="shared" si="6"/>
        <v>martes</v>
      </c>
      <c r="T232" t="str">
        <f t="shared" si="7"/>
        <v>agosto</v>
      </c>
      <c r="U232">
        <v>74.040000000000006</v>
      </c>
      <c r="V232">
        <f xml:space="preserve"> Tb_prod[[#This Row],[Emisiones_CO2_ton]] / Tb_prod[[#This Row],[Cantidad_Empleados]]</f>
        <v>8.886075949367088</v>
      </c>
      <c r="W232" t="str">
        <f>IF(Tb_prod[[#This Row],[Recuperación_Metal_Porcentaje]]&gt;90,"Alta",IF(Tb_prod[[#This Row],[Recuperación_Metal_Porcentaje]]&gt;75,"Media","Baja"))</f>
        <v>Baja</v>
      </c>
      <c r="X232" t="str">
        <f>IF(AND(Tb_prod[[#This Row],[Consumo_Energia_MWh]]&lt;=2000,Tb_prod[[#This Row],[Riesgo_Ambiental]]="Alto"),"Crítica","Normal")</f>
        <v>Normal</v>
      </c>
    </row>
    <row r="233" spans="1:24">
      <c r="A233">
        <v>311</v>
      </c>
      <c r="B233" t="str">
        <f>VLOOKUP(Tb_prod[[#This Row],[Región]],AUX_REGION[],2,0)</f>
        <v>Minera Staff</v>
      </c>
      <c r="C233" t="s">
        <v>27</v>
      </c>
      <c r="D233" t="s">
        <v>13</v>
      </c>
      <c r="E233" t="s">
        <v>19</v>
      </c>
      <c r="F233" t="s">
        <v>15</v>
      </c>
      <c r="G233" t="s">
        <v>20</v>
      </c>
      <c r="H233" s="23">
        <v>4774.37</v>
      </c>
      <c r="I233" s="23">
        <v>1909.5</v>
      </c>
      <c r="J233" s="23">
        <v>48403.74</v>
      </c>
      <c r="K233" s="23">
        <v>1319.23</v>
      </c>
      <c r="L233" s="10">
        <v>12581641170</v>
      </c>
      <c r="M233" s="9">
        <v>153983838330</v>
      </c>
      <c r="N233" s="12">
        <f xml:space="preserve"> Tb_prod[[#This Row],[Costo_Mantenimiento_CLP]] / Tb_prod[[#This Row],[Dias_Operación_Mes]]</f>
        <v>483909275.76923078</v>
      </c>
      <c r="O233" s="11">
        <f>Tb_prod[[#This Row],[Costo_Operativo_CLP]] / Tb_prod[[#This Row],[Producción_Toneladas]]</f>
        <v>32252179.518973183</v>
      </c>
      <c r="P233">
        <v>229</v>
      </c>
      <c r="Q233">
        <v>26</v>
      </c>
      <c r="R233" s="6">
        <v>45810</v>
      </c>
      <c r="S233" t="str">
        <f t="shared" si="6"/>
        <v>lunes</v>
      </c>
      <c r="T233" t="str">
        <f t="shared" si="7"/>
        <v>junio</v>
      </c>
      <c r="U233">
        <v>75.48</v>
      </c>
      <c r="V233">
        <f xml:space="preserve"> Tb_prod[[#This Row],[Emisiones_CO2_ton]] / Tb_prod[[#This Row],[Cantidad_Empleados]]</f>
        <v>5.7608296943231441</v>
      </c>
      <c r="W233" t="str">
        <f>IF(Tb_prod[[#This Row],[Recuperación_Metal_Porcentaje]]&gt;90,"Alta",IF(Tb_prod[[#This Row],[Recuperación_Metal_Porcentaje]]&gt;75,"Media","Baja"))</f>
        <v>Media</v>
      </c>
      <c r="X233" t="str">
        <f>IF(AND(Tb_prod[[#This Row],[Consumo_Energia_MWh]]&lt;=2000,Tb_prod[[#This Row],[Riesgo_Ambiental]]="Alto"),"Crítica","Normal")</f>
        <v>Crítica</v>
      </c>
    </row>
    <row r="234" spans="1:24">
      <c r="A234">
        <v>124</v>
      </c>
      <c r="B234" t="str">
        <f>VLOOKUP(Tb_prod[[#This Row],[Región]],AUX_REGION[],2,0)</f>
        <v>Minera Romero</v>
      </c>
      <c r="C234" t="s">
        <v>21</v>
      </c>
      <c r="D234" t="s">
        <v>23</v>
      </c>
      <c r="E234" t="s">
        <v>14</v>
      </c>
      <c r="F234" t="s">
        <v>26</v>
      </c>
      <c r="G234" t="s">
        <v>22</v>
      </c>
      <c r="H234" s="23">
        <v>7596.98</v>
      </c>
      <c r="I234" s="23">
        <v>2099.9899999999998</v>
      </c>
      <c r="J234" s="23">
        <v>48408.28</v>
      </c>
      <c r="K234" s="23">
        <v>789.6</v>
      </c>
      <c r="L234" s="10">
        <v>25486561620</v>
      </c>
      <c r="M234" s="9">
        <v>67522648230</v>
      </c>
      <c r="N234" s="12">
        <f xml:space="preserve"> Tb_prod[[#This Row],[Costo_Mantenimiento_CLP]] / Tb_prod[[#This Row],[Dias_Operación_Mes]]</f>
        <v>1158480073.6363637</v>
      </c>
      <c r="O234" s="11">
        <f>Tb_prod[[#This Row],[Costo_Operativo_CLP]] / Tb_prod[[#This Row],[Producción_Toneladas]]</f>
        <v>8888090.824248584</v>
      </c>
      <c r="P234">
        <v>67</v>
      </c>
      <c r="Q234">
        <v>22</v>
      </c>
      <c r="R234" s="6">
        <v>45626</v>
      </c>
      <c r="S234" t="str">
        <f t="shared" si="6"/>
        <v>sábado</v>
      </c>
      <c r="T234" t="str">
        <f t="shared" si="7"/>
        <v>noviembre</v>
      </c>
      <c r="U234">
        <v>70.819999999999993</v>
      </c>
      <c r="V234">
        <f xml:space="preserve"> Tb_prod[[#This Row],[Emisiones_CO2_ton]] / Tb_prod[[#This Row],[Cantidad_Empleados]]</f>
        <v>11.785074626865672</v>
      </c>
      <c r="W234" t="str">
        <f>IF(Tb_prod[[#This Row],[Recuperación_Metal_Porcentaje]]&gt;90,"Alta",IF(Tb_prod[[#This Row],[Recuperación_Metal_Porcentaje]]&gt;75,"Media","Baja"))</f>
        <v>Baja</v>
      </c>
      <c r="X234" t="str">
        <f>IF(AND(Tb_prod[[#This Row],[Consumo_Energia_MWh]]&lt;=2000,Tb_prod[[#This Row],[Riesgo_Ambiental]]="Alto"),"Crítica","Normal")</f>
        <v>Normal</v>
      </c>
    </row>
    <row r="235" spans="1:24">
      <c r="A235">
        <v>55</v>
      </c>
      <c r="B235" t="str">
        <f>VLOOKUP(Tb_prod[[#This Row],[Región]],AUX_REGION[],2,0)</f>
        <v>Minera Staff</v>
      </c>
      <c r="C235" t="s">
        <v>21</v>
      </c>
      <c r="D235" t="s">
        <v>13</v>
      </c>
      <c r="E235" t="s">
        <v>14</v>
      </c>
      <c r="F235" t="s">
        <v>26</v>
      </c>
      <c r="G235" t="s">
        <v>16</v>
      </c>
      <c r="H235" s="23">
        <v>8063.59</v>
      </c>
      <c r="I235" s="23">
        <v>2172.15</v>
      </c>
      <c r="J235" s="23">
        <v>48409.21</v>
      </c>
      <c r="K235" s="23">
        <v>787.19</v>
      </c>
      <c r="L235" s="10">
        <v>1373784307138.8899</v>
      </c>
      <c r="M235" s="9">
        <v>82797383790</v>
      </c>
      <c r="N235" s="12">
        <f xml:space="preserve"> Tb_prod[[#This Row],[Costo_Mantenimiento_CLP]] / Tb_prod[[#This Row],[Dias_Operación_Mes]]</f>
        <v>50880900264.403328</v>
      </c>
      <c r="O235" s="11">
        <f>Tb_prod[[#This Row],[Costo_Operativo_CLP]] / Tb_prod[[#This Row],[Producción_Toneladas]]</f>
        <v>10268054.773370173</v>
      </c>
      <c r="P235">
        <v>159</v>
      </c>
      <c r="Q235">
        <v>27</v>
      </c>
      <c r="R235" s="6">
        <v>45436</v>
      </c>
      <c r="S235" t="str">
        <f t="shared" si="6"/>
        <v>viernes</v>
      </c>
      <c r="T235" t="str">
        <f t="shared" si="7"/>
        <v>mayo</v>
      </c>
      <c r="U235">
        <v>80.010000000000005</v>
      </c>
      <c r="V235">
        <f xml:space="preserve"> Tb_prod[[#This Row],[Emisiones_CO2_ton]] / Tb_prod[[#This Row],[Cantidad_Empleados]]</f>
        <v>4.9508805031446546</v>
      </c>
      <c r="W235" t="str">
        <f>IF(Tb_prod[[#This Row],[Recuperación_Metal_Porcentaje]]&gt;90,"Alta",IF(Tb_prod[[#This Row],[Recuperación_Metal_Porcentaje]]&gt;75,"Media","Baja"))</f>
        <v>Media</v>
      </c>
      <c r="X235" t="str">
        <f>IF(AND(Tb_prod[[#This Row],[Consumo_Energia_MWh]]&lt;=2000,Tb_prod[[#This Row],[Riesgo_Ambiental]]="Alto"),"Crítica","Normal")</f>
        <v>Normal</v>
      </c>
    </row>
    <row r="236" spans="1:24">
      <c r="A236">
        <v>320</v>
      </c>
      <c r="B236" t="str">
        <f>VLOOKUP(Tb_prod[[#This Row],[Región]],AUX_REGION[],2,0)</f>
        <v>Minera del Norte</v>
      </c>
      <c r="C236" t="s">
        <v>21</v>
      </c>
      <c r="D236" t="s">
        <v>18</v>
      </c>
      <c r="E236" t="s">
        <v>14</v>
      </c>
      <c r="F236" t="s">
        <v>24</v>
      </c>
      <c r="G236" t="s">
        <v>16</v>
      </c>
      <c r="H236" s="23">
        <v>2731.11</v>
      </c>
      <c r="I236" s="23">
        <v>1997.18</v>
      </c>
      <c r="J236" s="23">
        <v>48476.99</v>
      </c>
      <c r="K236" s="23">
        <v>241.09</v>
      </c>
      <c r="L236" s="10">
        <v>29827970820</v>
      </c>
      <c r="M236" s="9">
        <v>1136100934140</v>
      </c>
      <c r="N236" s="12">
        <f xml:space="preserve"> Tb_prod[[#This Row],[Costo_Mantenimiento_CLP]] / Tb_prod[[#This Row],[Dias_Operación_Mes]]</f>
        <v>1242832117.5</v>
      </c>
      <c r="O236" s="11">
        <f>Tb_prod[[#This Row],[Costo_Operativo_CLP]] / Tb_prod[[#This Row],[Producción_Toneladas]]</f>
        <v>415985051.55046844</v>
      </c>
      <c r="P236">
        <v>93</v>
      </c>
      <c r="Q236">
        <v>24</v>
      </c>
      <c r="R236" s="6">
        <v>45583</v>
      </c>
      <c r="S236" t="str">
        <f t="shared" si="6"/>
        <v>viernes</v>
      </c>
      <c r="T236" t="str">
        <f t="shared" si="7"/>
        <v>octubre</v>
      </c>
      <c r="U236">
        <v>79.319999999999993</v>
      </c>
      <c r="V236">
        <f xml:space="preserve"> Tb_prod[[#This Row],[Emisiones_CO2_ton]] / Tb_prod[[#This Row],[Cantidad_Empleados]]</f>
        <v>2.5923655913978494</v>
      </c>
      <c r="W236" t="str">
        <f>IF(Tb_prod[[#This Row],[Recuperación_Metal_Porcentaje]]&gt;90,"Alta",IF(Tb_prod[[#This Row],[Recuperación_Metal_Porcentaje]]&gt;75,"Media","Baja"))</f>
        <v>Media</v>
      </c>
      <c r="X236" t="str">
        <f>IF(AND(Tb_prod[[#This Row],[Consumo_Energia_MWh]]&lt;=2000,Tb_prod[[#This Row],[Riesgo_Ambiental]]="Alto"),"Crítica","Normal")</f>
        <v>Normal</v>
      </c>
    </row>
    <row r="237" spans="1:24">
      <c r="A237">
        <v>386</v>
      </c>
      <c r="B237" t="str">
        <f>VLOOKUP(Tb_prod[[#This Row],[Región]],AUX_REGION[],2,0)</f>
        <v>Minera Romero</v>
      </c>
      <c r="C237" t="s">
        <v>27</v>
      </c>
      <c r="D237" t="s">
        <v>23</v>
      </c>
      <c r="E237" t="s">
        <v>19</v>
      </c>
      <c r="F237" t="s">
        <v>26</v>
      </c>
      <c r="G237" t="s">
        <v>16</v>
      </c>
      <c r="H237" s="23">
        <v>6667.98</v>
      </c>
      <c r="I237" s="23">
        <v>901.77</v>
      </c>
      <c r="J237" s="23">
        <v>48478.61</v>
      </c>
      <c r="K237" s="23">
        <v>981.78</v>
      </c>
      <c r="L237" s="10">
        <v>43903942110</v>
      </c>
      <c r="M237" s="9">
        <v>111795827490</v>
      </c>
      <c r="N237" s="12">
        <f xml:space="preserve"> Tb_prod[[#This Row],[Costo_Mantenimiento_CLP]] / Tb_prod[[#This Row],[Dias_Operación_Mes]]</f>
        <v>2090663910</v>
      </c>
      <c r="O237" s="11">
        <f>Tb_prod[[#This Row],[Costo_Operativo_CLP]] / Tb_prod[[#This Row],[Producción_Toneladas]]</f>
        <v>16766071.207472129</v>
      </c>
      <c r="P237">
        <v>196</v>
      </c>
      <c r="Q237">
        <v>21</v>
      </c>
      <c r="R237" s="6">
        <v>45608</v>
      </c>
      <c r="S237" t="str">
        <f t="shared" si="6"/>
        <v>martes</v>
      </c>
      <c r="T237" t="str">
        <f t="shared" si="7"/>
        <v>noviembre</v>
      </c>
      <c r="U237">
        <v>86.58</v>
      </c>
      <c r="V237">
        <f xml:space="preserve"> Tb_prod[[#This Row],[Emisiones_CO2_ton]] / Tb_prod[[#This Row],[Cantidad_Empleados]]</f>
        <v>5.0090816326530607</v>
      </c>
      <c r="W237" t="str">
        <f>IF(Tb_prod[[#This Row],[Recuperación_Metal_Porcentaje]]&gt;90,"Alta",IF(Tb_prod[[#This Row],[Recuperación_Metal_Porcentaje]]&gt;75,"Media","Baja"))</f>
        <v>Media</v>
      </c>
      <c r="X237" t="str">
        <f>IF(AND(Tb_prod[[#This Row],[Consumo_Energia_MWh]]&lt;=2000,Tb_prod[[#This Row],[Riesgo_Ambiental]]="Alto"),"Crítica","Normal")</f>
        <v>Normal</v>
      </c>
    </row>
    <row r="238" spans="1:24">
      <c r="A238">
        <v>344</v>
      </c>
      <c r="B238" t="str">
        <f>VLOOKUP(Tb_prod[[#This Row],[Región]],AUX_REGION[],2,0)</f>
        <v>Minera Romero</v>
      </c>
      <c r="C238" t="s">
        <v>12</v>
      </c>
      <c r="D238" t="s">
        <v>23</v>
      </c>
      <c r="E238" t="s">
        <v>14</v>
      </c>
      <c r="F238" t="s">
        <v>26</v>
      </c>
      <c r="G238" t="s">
        <v>22</v>
      </c>
      <c r="H238" s="23">
        <v>1868.17</v>
      </c>
      <c r="I238" s="23">
        <v>2671.56</v>
      </c>
      <c r="J238" s="23">
        <v>48593.43</v>
      </c>
      <c r="K238" s="23">
        <v>881.41</v>
      </c>
      <c r="L238" s="10">
        <v>1356839386138.8899</v>
      </c>
      <c r="M238" s="9">
        <v>170778807000</v>
      </c>
      <c r="N238" s="12">
        <f xml:space="preserve"> Tb_prod[[#This Row],[Costo_Mantenimiento_CLP]] / Tb_prod[[#This Row],[Dias_Operación_Mes]]</f>
        <v>64611399339.947136</v>
      </c>
      <c r="O238" s="11">
        <f>Tb_prod[[#This Row],[Costo_Operativo_CLP]] / Tb_prod[[#This Row],[Producción_Toneladas]]</f>
        <v>91415024.863904238</v>
      </c>
      <c r="P238">
        <v>164</v>
      </c>
      <c r="Q238">
        <v>21</v>
      </c>
      <c r="R238" s="6">
        <v>45997</v>
      </c>
      <c r="S238" t="str">
        <f t="shared" si="6"/>
        <v>sábado</v>
      </c>
      <c r="T238" t="str">
        <f t="shared" si="7"/>
        <v>diciembre</v>
      </c>
      <c r="U238">
        <v>88.51</v>
      </c>
      <c r="V238">
        <f xml:space="preserve"> Tb_prod[[#This Row],[Emisiones_CO2_ton]] / Tb_prod[[#This Row],[Cantidad_Empleados]]</f>
        <v>5.3744512195121947</v>
      </c>
      <c r="W238" t="str">
        <f>IF(Tb_prod[[#This Row],[Recuperación_Metal_Porcentaje]]&gt;90,"Alta",IF(Tb_prod[[#This Row],[Recuperación_Metal_Porcentaje]]&gt;75,"Media","Baja"))</f>
        <v>Media</v>
      </c>
      <c r="X238" t="str">
        <f>IF(AND(Tb_prod[[#This Row],[Consumo_Energia_MWh]]&lt;=2000,Tb_prod[[#This Row],[Riesgo_Ambiental]]="Alto"),"Crítica","Normal")</f>
        <v>Normal</v>
      </c>
    </row>
    <row r="239" spans="1:24">
      <c r="A239">
        <v>483</v>
      </c>
      <c r="B239" t="str">
        <f>VLOOKUP(Tb_prod[[#This Row],[Región]],AUX_REGION[],2,0)</f>
        <v>Minera Romero</v>
      </c>
      <c r="C239" t="s">
        <v>25</v>
      </c>
      <c r="D239" t="s">
        <v>23</v>
      </c>
      <c r="E239" t="s">
        <v>14</v>
      </c>
      <c r="F239" t="s">
        <v>24</v>
      </c>
      <c r="G239" t="s">
        <v>20</v>
      </c>
      <c r="H239" s="23">
        <v>6742.89</v>
      </c>
      <c r="I239" s="23">
        <v>1665.13</v>
      </c>
      <c r="J239" s="23">
        <v>48618.36</v>
      </c>
      <c r="K239" s="23">
        <v>1355.25</v>
      </c>
      <c r="L239" s="10">
        <v>30279285810</v>
      </c>
      <c r="M239" s="9">
        <v>51681144330</v>
      </c>
      <c r="N239" s="12">
        <f xml:space="preserve"> Tb_prod[[#This Row],[Costo_Mantenimiento_CLP]] / Tb_prod[[#This Row],[Dias_Operación_Mes]]</f>
        <v>1376331173.1818182</v>
      </c>
      <c r="O239" s="11">
        <f>Tb_prod[[#This Row],[Costo_Operativo_CLP]] / Tb_prod[[#This Row],[Producción_Toneladas]]</f>
        <v>7664539.1412287606</v>
      </c>
      <c r="P239">
        <v>181</v>
      </c>
      <c r="Q239">
        <v>22</v>
      </c>
      <c r="R239" s="6">
        <v>45060</v>
      </c>
      <c r="S239" t="str">
        <f t="shared" si="6"/>
        <v>domingo</v>
      </c>
      <c r="T239" t="str">
        <f t="shared" si="7"/>
        <v>mayo</v>
      </c>
      <c r="U239">
        <v>97.89</v>
      </c>
      <c r="V239">
        <f xml:space="preserve"> Tb_prod[[#This Row],[Emisiones_CO2_ton]] / Tb_prod[[#This Row],[Cantidad_Empleados]]</f>
        <v>7.4875690607734811</v>
      </c>
      <c r="W239" t="str">
        <f>IF(Tb_prod[[#This Row],[Recuperación_Metal_Porcentaje]]&gt;90,"Alta",IF(Tb_prod[[#This Row],[Recuperación_Metal_Porcentaje]]&gt;75,"Media","Baja"))</f>
        <v>Alta</v>
      </c>
      <c r="X239" t="str">
        <f>IF(AND(Tb_prod[[#This Row],[Consumo_Energia_MWh]]&lt;=2000,Tb_prod[[#This Row],[Riesgo_Ambiental]]="Alto"),"Crítica","Normal")</f>
        <v>Crítica</v>
      </c>
    </row>
    <row r="240" spans="1:24">
      <c r="A240">
        <v>87</v>
      </c>
      <c r="B240" t="str">
        <f>VLOOKUP(Tb_prod[[#This Row],[Región]],AUX_REGION[],2,0)</f>
        <v>Minera Staff</v>
      </c>
      <c r="C240" t="s">
        <v>27</v>
      </c>
      <c r="D240" t="s">
        <v>13</v>
      </c>
      <c r="E240" t="s">
        <v>19</v>
      </c>
      <c r="F240" t="s">
        <v>26</v>
      </c>
      <c r="G240" t="s">
        <v>22</v>
      </c>
      <c r="H240" s="23">
        <v>4776.22</v>
      </c>
      <c r="I240" s="23">
        <v>2294.38</v>
      </c>
      <c r="J240" s="23">
        <v>48719.89</v>
      </c>
      <c r="K240" s="23">
        <v>596.35</v>
      </c>
      <c r="L240" s="10">
        <v>21035041110</v>
      </c>
      <c r="M240" s="9">
        <v>756551961660</v>
      </c>
      <c r="N240" s="12">
        <f xml:space="preserve"> Tb_prod[[#This Row],[Costo_Mantenimiento_CLP]] / Tb_prod[[#This Row],[Dias_Operación_Mes]]</f>
        <v>725346245.17241383</v>
      </c>
      <c r="O240" s="11">
        <f>Tb_prod[[#This Row],[Costo_Operativo_CLP]] / Tb_prod[[#This Row],[Producción_Toneladas]]</f>
        <v>158399730.67823508</v>
      </c>
      <c r="P240">
        <v>168</v>
      </c>
      <c r="Q240">
        <v>29</v>
      </c>
      <c r="R240" s="6">
        <v>45978</v>
      </c>
      <c r="S240" t="str">
        <f t="shared" si="6"/>
        <v>lunes</v>
      </c>
      <c r="T240" t="str">
        <f t="shared" si="7"/>
        <v>noviembre</v>
      </c>
      <c r="U240">
        <v>71.53</v>
      </c>
      <c r="V240">
        <f xml:space="preserve"> Tb_prod[[#This Row],[Emisiones_CO2_ton]] / Tb_prod[[#This Row],[Cantidad_Empleados]]</f>
        <v>3.5497023809523811</v>
      </c>
      <c r="W240" t="str">
        <f>IF(Tb_prod[[#This Row],[Recuperación_Metal_Porcentaje]]&gt;90,"Alta",IF(Tb_prod[[#This Row],[Recuperación_Metal_Porcentaje]]&gt;75,"Media","Baja"))</f>
        <v>Baja</v>
      </c>
      <c r="X240" t="str">
        <f>IF(AND(Tb_prod[[#This Row],[Consumo_Energia_MWh]]&lt;=2000,Tb_prod[[#This Row],[Riesgo_Ambiental]]="Alto"),"Crítica","Normal")</f>
        <v>Normal</v>
      </c>
    </row>
    <row r="241" spans="1:24">
      <c r="A241">
        <v>415</v>
      </c>
      <c r="B241" t="str">
        <f>VLOOKUP(Tb_prod[[#This Row],[Región]],AUX_REGION[],2,0)</f>
        <v>Minera Romero</v>
      </c>
      <c r="C241" t="s">
        <v>27</v>
      </c>
      <c r="D241" t="s">
        <v>23</v>
      </c>
      <c r="E241" t="s">
        <v>14</v>
      </c>
      <c r="F241" t="s">
        <v>24</v>
      </c>
      <c r="G241" t="s">
        <v>20</v>
      </c>
      <c r="H241" s="23">
        <v>5692.55</v>
      </c>
      <c r="I241" s="23">
        <v>1334.21</v>
      </c>
      <c r="J241" s="23">
        <v>48822.22</v>
      </c>
      <c r="K241" s="23">
        <v>1517.99</v>
      </c>
      <c r="L241" s="10">
        <v>29003001660</v>
      </c>
      <c r="M241" s="9">
        <v>1563093528180</v>
      </c>
      <c r="N241" s="12">
        <f xml:space="preserve"> Tb_prod[[#This Row],[Costo_Mantenimiento_CLP]] / Tb_prod[[#This Row],[Dias_Operación_Mes]]</f>
        <v>1261000072.173913</v>
      </c>
      <c r="O241" s="11">
        <f>Tb_prod[[#This Row],[Costo_Operativo_CLP]] / Tb_prod[[#This Row],[Producción_Toneladas]]</f>
        <v>274585823.25671273</v>
      </c>
      <c r="P241">
        <v>148</v>
      </c>
      <c r="Q241">
        <v>23</v>
      </c>
      <c r="R241" s="6">
        <v>45077</v>
      </c>
      <c r="S241" t="str">
        <f t="shared" si="6"/>
        <v>miércoles</v>
      </c>
      <c r="T241" t="str">
        <f t="shared" si="7"/>
        <v>mayo</v>
      </c>
      <c r="U241">
        <v>84.03</v>
      </c>
      <c r="V241">
        <f xml:space="preserve"> Tb_prod[[#This Row],[Emisiones_CO2_ton]] / Tb_prod[[#This Row],[Cantidad_Empleados]]</f>
        <v>10.256689189189188</v>
      </c>
      <c r="W241" t="str">
        <f>IF(Tb_prod[[#This Row],[Recuperación_Metal_Porcentaje]]&gt;90,"Alta",IF(Tb_prod[[#This Row],[Recuperación_Metal_Porcentaje]]&gt;75,"Media","Baja"))</f>
        <v>Media</v>
      </c>
      <c r="X241" t="str">
        <f>IF(AND(Tb_prod[[#This Row],[Consumo_Energia_MWh]]&lt;=2000,Tb_prod[[#This Row],[Riesgo_Ambiental]]="Alto"),"Crítica","Normal")</f>
        <v>Crítica</v>
      </c>
    </row>
    <row r="242" spans="1:24">
      <c r="A242">
        <v>496</v>
      </c>
      <c r="B242" t="str">
        <f>VLOOKUP(Tb_prod[[#This Row],[Región]],AUX_REGION[],2,0)</f>
        <v>Minera Romero</v>
      </c>
      <c r="C242" t="s">
        <v>27</v>
      </c>
      <c r="D242" t="s">
        <v>23</v>
      </c>
      <c r="E242" t="s">
        <v>14</v>
      </c>
      <c r="F242" t="s">
        <v>24</v>
      </c>
      <c r="G242" t="s">
        <v>22</v>
      </c>
      <c r="H242" s="23">
        <v>3005.54</v>
      </c>
      <c r="I242" s="23">
        <v>2144.63</v>
      </c>
      <c r="J242" s="23">
        <v>48866.21</v>
      </c>
      <c r="K242" s="23">
        <v>1768.76</v>
      </c>
      <c r="L242" s="10">
        <v>10230790590</v>
      </c>
      <c r="M242" s="9">
        <v>28091609550</v>
      </c>
      <c r="N242" s="12">
        <f xml:space="preserve"> Tb_prod[[#This Row],[Costo_Mantenimiento_CLP]] / Tb_prod[[#This Row],[Dias_Operación_Mes]]</f>
        <v>393491945.76923078</v>
      </c>
      <c r="O242" s="11">
        <f>Tb_prod[[#This Row],[Costo_Operativo_CLP]] / Tb_prod[[#This Row],[Producción_Toneladas]]</f>
        <v>9346609.7772779595</v>
      </c>
      <c r="P242">
        <v>266</v>
      </c>
      <c r="Q242">
        <v>26</v>
      </c>
      <c r="R242" s="6">
        <v>45644</v>
      </c>
      <c r="S242" t="str">
        <f t="shared" si="6"/>
        <v>miércoles</v>
      </c>
      <c r="T242" t="str">
        <f t="shared" si="7"/>
        <v>diciembre</v>
      </c>
      <c r="U242">
        <v>85.53</v>
      </c>
      <c r="V242">
        <f xml:space="preserve"> Tb_prod[[#This Row],[Emisiones_CO2_ton]] / Tb_prod[[#This Row],[Cantidad_Empleados]]</f>
        <v>6.649473684210526</v>
      </c>
      <c r="W242" t="str">
        <f>IF(Tb_prod[[#This Row],[Recuperación_Metal_Porcentaje]]&gt;90,"Alta",IF(Tb_prod[[#This Row],[Recuperación_Metal_Porcentaje]]&gt;75,"Media","Baja"))</f>
        <v>Media</v>
      </c>
      <c r="X242" t="str">
        <f>IF(AND(Tb_prod[[#This Row],[Consumo_Energia_MWh]]&lt;=2000,Tb_prod[[#This Row],[Riesgo_Ambiental]]="Alto"),"Crítica","Normal")</f>
        <v>Normal</v>
      </c>
    </row>
    <row r="243" spans="1:24">
      <c r="A243">
        <v>192</v>
      </c>
      <c r="B243" t="str">
        <f>VLOOKUP(Tb_prod[[#This Row],[Región]],AUX_REGION[],2,0)</f>
        <v>Minera del Norte</v>
      </c>
      <c r="C243" t="s">
        <v>17</v>
      </c>
      <c r="D243" t="s">
        <v>18</v>
      </c>
      <c r="E243" t="s">
        <v>14</v>
      </c>
      <c r="F243" t="s">
        <v>15</v>
      </c>
      <c r="G243" t="s">
        <v>16</v>
      </c>
      <c r="H243" s="23">
        <v>1278.06</v>
      </c>
      <c r="I243" s="23">
        <v>2188.4299999999998</v>
      </c>
      <c r="J243" s="23">
        <v>48904.91</v>
      </c>
      <c r="K243" s="23">
        <v>774.15</v>
      </c>
      <c r="L243" s="10">
        <v>13959314820</v>
      </c>
      <c r="M243" s="9">
        <v>44347273740</v>
      </c>
      <c r="N243" s="12">
        <f xml:space="preserve"> Tb_prod[[#This Row],[Costo_Mantenimiento_CLP]] / Tb_prod[[#This Row],[Dias_Operación_Mes]]</f>
        <v>517011660</v>
      </c>
      <c r="O243" s="11">
        <f>Tb_prod[[#This Row],[Costo_Operativo_CLP]] / Tb_prod[[#This Row],[Producción_Toneladas]]</f>
        <v>34698898.126848504</v>
      </c>
      <c r="P243">
        <v>215</v>
      </c>
      <c r="Q243">
        <v>27</v>
      </c>
      <c r="R243" s="6">
        <v>45486</v>
      </c>
      <c r="S243" t="str">
        <f t="shared" si="6"/>
        <v>sábado</v>
      </c>
      <c r="T243" t="str">
        <f t="shared" si="7"/>
        <v>julio</v>
      </c>
      <c r="U243">
        <v>84.58</v>
      </c>
      <c r="V243">
        <f xml:space="preserve"> Tb_prod[[#This Row],[Emisiones_CO2_ton]] / Tb_prod[[#This Row],[Cantidad_Empleados]]</f>
        <v>3.6006976744186043</v>
      </c>
      <c r="W243" t="str">
        <f>IF(Tb_prod[[#This Row],[Recuperación_Metal_Porcentaje]]&gt;90,"Alta",IF(Tb_prod[[#This Row],[Recuperación_Metal_Porcentaje]]&gt;75,"Media","Baja"))</f>
        <v>Media</v>
      </c>
      <c r="X243" t="str">
        <f>IF(AND(Tb_prod[[#This Row],[Consumo_Energia_MWh]]&lt;=2000,Tb_prod[[#This Row],[Riesgo_Ambiental]]="Alto"),"Crítica","Normal")</f>
        <v>Normal</v>
      </c>
    </row>
    <row r="244" spans="1:24">
      <c r="A244">
        <v>12</v>
      </c>
      <c r="B244" t="str">
        <f>VLOOKUP(Tb_prod[[#This Row],[Región]],AUX_REGION[],2,0)</f>
        <v>Minera Romero</v>
      </c>
      <c r="C244" t="s">
        <v>21</v>
      </c>
      <c r="D244" t="s">
        <v>23</v>
      </c>
      <c r="E244" t="s">
        <v>19</v>
      </c>
      <c r="F244" t="s">
        <v>26</v>
      </c>
      <c r="G244" t="s">
        <v>16</v>
      </c>
      <c r="H244" s="23">
        <v>3943.58</v>
      </c>
      <c r="I244" s="23">
        <v>2458.46</v>
      </c>
      <c r="J244" s="23">
        <v>48908.86</v>
      </c>
      <c r="K244" s="23">
        <v>710.27</v>
      </c>
      <c r="L244" s="10">
        <v>19353015360</v>
      </c>
      <c r="M244" s="9">
        <v>171636889140</v>
      </c>
      <c r="N244" s="12">
        <f xml:space="preserve"> Tb_prod[[#This Row],[Costo_Mantenimiento_CLP]] / Tb_prod[[#This Row],[Dias_Operación_Mes]]</f>
        <v>667345357.24137926</v>
      </c>
      <c r="O244" s="11">
        <f>Tb_prod[[#This Row],[Costo_Operativo_CLP]] / Tb_prod[[#This Row],[Producción_Toneladas]]</f>
        <v>43523115.833836265</v>
      </c>
      <c r="P244">
        <v>69</v>
      </c>
      <c r="Q244">
        <v>29</v>
      </c>
      <c r="R244" s="6">
        <v>45312</v>
      </c>
      <c r="S244" t="str">
        <f t="shared" si="6"/>
        <v>domingo</v>
      </c>
      <c r="T244" t="str">
        <f t="shared" si="7"/>
        <v>enero</v>
      </c>
      <c r="U244">
        <v>75.91</v>
      </c>
      <c r="V244">
        <f xml:space="preserve"> Tb_prod[[#This Row],[Emisiones_CO2_ton]] / Tb_prod[[#This Row],[Cantidad_Empleados]]</f>
        <v>10.293768115942029</v>
      </c>
      <c r="W244" t="str">
        <f>IF(Tb_prod[[#This Row],[Recuperación_Metal_Porcentaje]]&gt;90,"Alta",IF(Tb_prod[[#This Row],[Recuperación_Metal_Porcentaje]]&gt;75,"Media","Baja"))</f>
        <v>Media</v>
      </c>
      <c r="X244" t="str">
        <f>IF(AND(Tb_prod[[#This Row],[Consumo_Energia_MWh]]&lt;=2000,Tb_prod[[#This Row],[Riesgo_Ambiental]]="Alto"),"Crítica","Normal")</f>
        <v>Normal</v>
      </c>
    </row>
    <row r="245" spans="1:24">
      <c r="A245">
        <v>21</v>
      </c>
      <c r="B245" t="str">
        <f>VLOOKUP(Tb_prod[[#This Row],[Región]],AUX_REGION[],2,0)</f>
        <v>Minera del Norte</v>
      </c>
      <c r="C245" t="s">
        <v>25</v>
      </c>
      <c r="D245" t="s">
        <v>18</v>
      </c>
      <c r="E245" t="s">
        <v>19</v>
      </c>
      <c r="F245" t="s">
        <v>15</v>
      </c>
      <c r="G245" t="s">
        <v>20</v>
      </c>
      <c r="H245" s="23">
        <v>6207.2</v>
      </c>
      <c r="I245" s="23">
        <v>1825.52</v>
      </c>
      <c r="J245" s="23">
        <v>49001.98</v>
      </c>
      <c r="K245" s="23">
        <v>815.02</v>
      </c>
      <c r="L245" s="10">
        <v>8554401000</v>
      </c>
      <c r="M245" s="9">
        <v>98651834820</v>
      </c>
      <c r="N245" s="12">
        <f xml:space="preserve"> Tb_prod[[#This Row],[Costo_Mantenimiento_CLP]] / Tb_prod[[#This Row],[Dias_Operación_Mes]]</f>
        <v>356433375</v>
      </c>
      <c r="O245" s="11">
        <f>Tb_prod[[#This Row],[Costo_Operativo_CLP]] / Tb_prod[[#This Row],[Producción_Toneladas]]</f>
        <v>15893129.72354685</v>
      </c>
      <c r="P245">
        <v>91</v>
      </c>
      <c r="Q245">
        <v>24</v>
      </c>
      <c r="R245" s="6">
        <v>46009</v>
      </c>
      <c r="S245" t="str">
        <f t="shared" si="6"/>
        <v>jueves</v>
      </c>
      <c r="T245" t="str">
        <f t="shared" si="7"/>
        <v>diciembre</v>
      </c>
      <c r="U245">
        <v>71.58</v>
      </c>
      <c r="V245">
        <f xml:space="preserve"> Tb_prod[[#This Row],[Emisiones_CO2_ton]] / Tb_prod[[#This Row],[Cantidad_Empleados]]</f>
        <v>8.9562637362637361</v>
      </c>
      <c r="W245" t="str">
        <f>IF(Tb_prod[[#This Row],[Recuperación_Metal_Porcentaje]]&gt;90,"Alta",IF(Tb_prod[[#This Row],[Recuperación_Metal_Porcentaje]]&gt;75,"Media","Baja"))</f>
        <v>Baja</v>
      </c>
      <c r="X245" t="str">
        <f>IF(AND(Tb_prod[[#This Row],[Consumo_Energia_MWh]]&lt;=2000,Tb_prod[[#This Row],[Riesgo_Ambiental]]="Alto"),"Crítica","Normal")</f>
        <v>Crítica</v>
      </c>
    </row>
    <row r="246" spans="1:24">
      <c r="A246">
        <v>151</v>
      </c>
      <c r="B246" t="str">
        <f>VLOOKUP(Tb_prod[[#This Row],[Región]],AUX_REGION[],2,0)</f>
        <v>Minera del Norte</v>
      </c>
      <c r="C246" t="s">
        <v>27</v>
      </c>
      <c r="D246" t="s">
        <v>18</v>
      </c>
      <c r="E246" t="s">
        <v>19</v>
      </c>
      <c r="F246" t="s">
        <v>26</v>
      </c>
      <c r="G246" t="s">
        <v>20</v>
      </c>
      <c r="H246" s="23">
        <v>4166.68</v>
      </c>
      <c r="I246" s="23">
        <v>2569.1</v>
      </c>
      <c r="J246" s="23">
        <v>49016.58</v>
      </c>
      <c r="K246" s="23">
        <v>1179.32</v>
      </c>
      <c r="L246" s="10">
        <v>31057588620</v>
      </c>
      <c r="M246" s="9">
        <v>424446610740</v>
      </c>
      <c r="N246" s="12">
        <f xml:space="preserve"> Tb_prod[[#This Row],[Costo_Mantenimiento_CLP]] / Tb_prod[[#This Row],[Dias_Operación_Mes]]</f>
        <v>1242303544.8</v>
      </c>
      <c r="O246" s="11">
        <f>Tb_prod[[#This Row],[Costo_Operativo_CLP]] / Tb_prod[[#This Row],[Producción_Toneladas]]</f>
        <v>101866860.60364605</v>
      </c>
      <c r="P246">
        <v>221</v>
      </c>
      <c r="Q246">
        <v>25</v>
      </c>
      <c r="R246" s="6">
        <v>45477</v>
      </c>
      <c r="S246" t="str">
        <f t="shared" si="6"/>
        <v>jueves</v>
      </c>
      <c r="T246" t="str">
        <f t="shared" si="7"/>
        <v>julio</v>
      </c>
      <c r="U246">
        <v>80.62</v>
      </c>
      <c r="V246">
        <f xml:space="preserve"> Tb_prod[[#This Row],[Emisiones_CO2_ton]] / Tb_prod[[#This Row],[Cantidad_Empleados]]</f>
        <v>5.3362895927601803</v>
      </c>
      <c r="W246" t="str">
        <f>IF(Tb_prod[[#This Row],[Recuperación_Metal_Porcentaje]]&gt;90,"Alta",IF(Tb_prod[[#This Row],[Recuperación_Metal_Porcentaje]]&gt;75,"Media","Baja"))</f>
        <v>Media</v>
      </c>
      <c r="X246" t="str">
        <f>IF(AND(Tb_prod[[#This Row],[Consumo_Energia_MWh]]&lt;=2000,Tb_prod[[#This Row],[Riesgo_Ambiental]]="Alto"),"Crítica","Normal")</f>
        <v>Normal</v>
      </c>
    </row>
    <row r="247" spans="1:24">
      <c r="A247">
        <v>223</v>
      </c>
      <c r="B247" t="str">
        <f>VLOOKUP(Tb_prod[[#This Row],[Región]],AUX_REGION[],2,0)</f>
        <v>Minera Romero</v>
      </c>
      <c r="C247" t="s">
        <v>21</v>
      </c>
      <c r="D247" t="s">
        <v>23</v>
      </c>
      <c r="E247" t="s">
        <v>14</v>
      </c>
      <c r="F247" t="s">
        <v>26</v>
      </c>
      <c r="G247" t="s">
        <v>16</v>
      </c>
      <c r="H247" s="23">
        <v>4293.34</v>
      </c>
      <c r="I247" s="23">
        <v>2718.14</v>
      </c>
      <c r="J247" s="23">
        <v>49045.67</v>
      </c>
      <c r="K247" s="23">
        <v>937.32</v>
      </c>
      <c r="L247" s="10">
        <v>1720745370</v>
      </c>
      <c r="M247" s="9">
        <v>106150625550</v>
      </c>
      <c r="N247" s="12">
        <f xml:space="preserve"> Tb_prod[[#This Row],[Costo_Mantenimiento_CLP]] / Tb_prod[[#This Row],[Dias_Operación_Mes]]</f>
        <v>57358179</v>
      </c>
      <c r="O247" s="11">
        <f>Tb_prod[[#This Row],[Costo_Operativo_CLP]] / Tb_prod[[#This Row],[Producción_Toneladas]]</f>
        <v>24724486.192568023</v>
      </c>
      <c r="P247">
        <v>142</v>
      </c>
      <c r="Q247">
        <v>30</v>
      </c>
      <c r="R247" s="6">
        <v>45972</v>
      </c>
      <c r="S247" t="str">
        <f t="shared" si="6"/>
        <v>martes</v>
      </c>
      <c r="T247" t="str">
        <f t="shared" si="7"/>
        <v>noviembre</v>
      </c>
      <c r="U247">
        <v>91.32</v>
      </c>
      <c r="V247">
        <f xml:space="preserve"> Tb_prod[[#This Row],[Emisiones_CO2_ton]] / Tb_prod[[#This Row],[Cantidad_Empleados]]</f>
        <v>6.6008450704225359</v>
      </c>
      <c r="W247" t="str">
        <f>IF(Tb_prod[[#This Row],[Recuperación_Metal_Porcentaje]]&gt;90,"Alta",IF(Tb_prod[[#This Row],[Recuperación_Metal_Porcentaje]]&gt;75,"Media","Baja"))</f>
        <v>Alta</v>
      </c>
      <c r="X247" t="str">
        <f>IF(AND(Tb_prod[[#This Row],[Consumo_Energia_MWh]]&lt;=2000,Tb_prod[[#This Row],[Riesgo_Ambiental]]="Alto"),"Crítica","Normal")</f>
        <v>Normal</v>
      </c>
    </row>
    <row r="248" spans="1:24">
      <c r="A248">
        <v>169</v>
      </c>
      <c r="B248" t="str">
        <f>VLOOKUP(Tb_prod[[#This Row],[Región]],AUX_REGION[],2,0)</f>
        <v>Minera Romero</v>
      </c>
      <c r="C248" t="s">
        <v>27</v>
      </c>
      <c r="D248" t="s">
        <v>23</v>
      </c>
      <c r="E248" t="s">
        <v>14</v>
      </c>
      <c r="F248" t="s">
        <v>15</v>
      </c>
      <c r="G248" t="s">
        <v>16</v>
      </c>
      <c r="H248" s="23">
        <v>6947.99</v>
      </c>
      <c r="I248" s="23">
        <v>1502.58</v>
      </c>
      <c r="J248" s="23">
        <v>49083.32</v>
      </c>
      <c r="K248" s="23">
        <v>1016.21</v>
      </c>
      <c r="L248" s="10">
        <v>6292385460</v>
      </c>
      <c r="M248" s="9">
        <v>89374933800</v>
      </c>
      <c r="N248" s="12">
        <f xml:space="preserve"> Tb_prod[[#This Row],[Costo_Mantenimiento_CLP]] / Tb_prod[[#This Row],[Dias_Operación_Mes]]</f>
        <v>299637402.85714287</v>
      </c>
      <c r="O248" s="11">
        <f>Tb_prod[[#This Row],[Costo_Operativo_CLP]] / Tb_prod[[#This Row],[Producción_Toneladas]]</f>
        <v>12863422.917994989</v>
      </c>
      <c r="P248">
        <v>190</v>
      </c>
      <c r="Q248">
        <v>21</v>
      </c>
      <c r="R248" s="6">
        <v>45690</v>
      </c>
      <c r="S248" t="str">
        <f t="shared" si="6"/>
        <v>domingo</v>
      </c>
      <c r="T248" t="str">
        <f t="shared" si="7"/>
        <v>febrero</v>
      </c>
      <c r="U248">
        <v>94.48</v>
      </c>
      <c r="V248">
        <f xml:space="preserve"> Tb_prod[[#This Row],[Emisiones_CO2_ton]] / Tb_prod[[#This Row],[Cantidad_Empleados]]</f>
        <v>5.3484736842105267</v>
      </c>
      <c r="W248" t="str">
        <f>IF(Tb_prod[[#This Row],[Recuperación_Metal_Porcentaje]]&gt;90,"Alta",IF(Tb_prod[[#This Row],[Recuperación_Metal_Porcentaje]]&gt;75,"Media","Baja"))</f>
        <v>Alta</v>
      </c>
      <c r="X248" t="str">
        <f>IF(AND(Tb_prod[[#This Row],[Consumo_Energia_MWh]]&lt;=2000,Tb_prod[[#This Row],[Riesgo_Ambiental]]="Alto"),"Crítica","Normal")</f>
        <v>Normal</v>
      </c>
    </row>
    <row r="249" spans="1:24">
      <c r="A249">
        <v>488</v>
      </c>
      <c r="B249" t="str">
        <f>VLOOKUP(Tb_prod[[#This Row],[Región]],AUX_REGION[],2,0)</f>
        <v>Minera Staff</v>
      </c>
      <c r="C249" t="s">
        <v>21</v>
      </c>
      <c r="D249" t="s">
        <v>13</v>
      </c>
      <c r="E249" t="s">
        <v>14</v>
      </c>
      <c r="F249" t="s">
        <v>26</v>
      </c>
      <c r="G249" t="s">
        <v>16</v>
      </c>
      <c r="H249" s="23">
        <v>5308.14</v>
      </c>
      <c r="I249" s="23">
        <v>2515.59</v>
      </c>
      <c r="J249" s="23">
        <v>49120.34</v>
      </c>
      <c r="K249" s="23">
        <v>1074.7</v>
      </c>
      <c r="L249" s="10">
        <v>34380000000</v>
      </c>
      <c r="M249" s="9">
        <v>147389559570</v>
      </c>
      <c r="N249" s="12">
        <f xml:space="preserve"> Tb_prod[[#This Row],[Costo_Mantenimiento_CLP]] / Tb_prod[[#This Row],[Dias_Operación_Mes]]</f>
        <v>1494782608.6956522</v>
      </c>
      <c r="O249" s="11">
        <f>Tb_prod[[#This Row],[Costo_Operativo_CLP]] / Tb_prod[[#This Row],[Producción_Toneladas]]</f>
        <v>27766705.39397981</v>
      </c>
      <c r="P249">
        <v>178</v>
      </c>
      <c r="Q249">
        <v>23</v>
      </c>
      <c r="R249" s="6">
        <v>45741</v>
      </c>
      <c r="S249" t="str">
        <f t="shared" si="6"/>
        <v>martes</v>
      </c>
      <c r="T249" t="str">
        <f t="shared" si="7"/>
        <v>marzo</v>
      </c>
      <c r="U249">
        <v>85.69</v>
      </c>
      <c r="V249">
        <f xml:space="preserve"> Tb_prod[[#This Row],[Emisiones_CO2_ton]] / Tb_prod[[#This Row],[Cantidad_Empleados]]</f>
        <v>6.0376404494382028</v>
      </c>
      <c r="W249" t="str">
        <f>IF(Tb_prod[[#This Row],[Recuperación_Metal_Porcentaje]]&gt;90,"Alta",IF(Tb_prod[[#This Row],[Recuperación_Metal_Porcentaje]]&gt;75,"Media","Baja"))</f>
        <v>Media</v>
      </c>
      <c r="X249" t="str">
        <f>IF(AND(Tb_prod[[#This Row],[Consumo_Energia_MWh]]&lt;=2000,Tb_prod[[#This Row],[Riesgo_Ambiental]]="Alto"),"Crítica","Normal")</f>
        <v>Normal</v>
      </c>
    </row>
    <row r="250" spans="1:24">
      <c r="A250">
        <v>115</v>
      </c>
      <c r="B250" t="str">
        <f>VLOOKUP(Tb_prod[[#This Row],[Región]],AUX_REGION[],2,0)</f>
        <v>Minera del Norte</v>
      </c>
      <c r="C250" t="s">
        <v>27</v>
      </c>
      <c r="D250" t="s">
        <v>18</v>
      </c>
      <c r="E250" t="s">
        <v>14</v>
      </c>
      <c r="F250" t="s">
        <v>15</v>
      </c>
      <c r="G250" t="s">
        <v>22</v>
      </c>
      <c r="H250" s="23">
        <v>5068.3900000000003</v>
      </c>
      <c r="I250" s="23">
        <v>1766.24</v>
      </c>
      <c r="J250" s="23">
        <v>49141.55</v>
      </c>
      <c r="K250" s="23">
        <v>1033.93</v>
      </c>
      <c r="L250" s="10">
        <v>844287400000</v>
      </c>
      <c r="M250" s="9">
        <v>93446377920</v>
      </c>
      <c r="N250" s="12">
        <f xml:space="preserve"> Tb_prod[[#This Row],[Costo_Mantenimiento_CLP]] / Tb_prod[[#This Row],[Dias_Operación_Mes]]</f>
        <v>40204161904.761902</v>
      </c>
      <c r="O250" s="11">
        <f>Tb_prod[[#This Row],[Costo_Operativo_CLP]] / Tb_prod[[#This Row],[Producción_Toneladas]]</f>
        <v>18437093.0255959</v>
      </c>
      <c r="P250">
        <v>155</v>
      </c>
      <c r="Q250">
        <v>21</v>
      </c>
      <c r="R250" s="6">
        <v>45078</v>
      </c>
      <c r="S250" t="str">
        <f t="shared" si="6"/>
        <v>jueves</v>
      </c>
      <c r="T250" t="str">
        <f t="shared" si="7"/>
        <v>junio</v>
      </c>
      <c r="U250">
        <v>75.27</v>
      </c>
      <c r="V250">
        <f xml:space="preserve"> Tb_prod[[#This Row],[Emisiones_CO2_ton]] / Tb_prod[[#This Row],[Cantidad_Empleados]]</f>
        <v>6.6705161290322588</v>
      </c>
      <c r="W250" t="str">
        <f>IF(Tb_prod[[#This Row],[Recuperación_Metal_Porcentaje]]&gt;90,"Alta",IF(Tb_prod[[#This Row],[Recuperación_Metal_Porcentaje]]&gt;75,"Media","Baja"))</f>
        <v>Media</v>
      </c>
      <c r="X250" t="str">
        <f>IF(AND(Tb_prod[[#This Row],[Consumo_Energia_MWh]]&lt;=2000,Tb_prod[[#This Row],[Riesgo_Ambiental]]="Alto"),"Crítica","Normal")</f>
        <v>Normal</v>
      </c>
    </row>
    <row r="251" spans="1:24">
      <c r="A251">
        <v>294</v>
      </c>
      <c r="B251" t="str">
        <f>VLOOKUP(Tb_prod[[#This Row],[Región]],AUX_REGION[],2,0)</f>
        <v>Minera Romero</v>
      </c>
      <c r="C251" t="s">
        <v>12</v>
      </c>
      <c r="D251" t="s">
        <v>23</v>
      </c>
      <c r="E251" t="s">
        <v>14</v>
      </c>
      <c r="F251" t="s">
        <v>15</v>
      </c>
      <c r="G251" t="s">
        <v>22</v>
      </c>
      <c r="H251" s="23">
        <v>3896.07</v>
      </c>
      <c r="I251" s="23">
        <v>1400.41</v>
      </c>
      <c r="J251" s="23">
        <v>49151.4</v>
      </c>
      <c r="K251" s="23">
        <v>986.51</v>
      </c>
      <c r="L251" s="10">
        <v>9753225300</v>
      </c>
      <c r="M251" s="9">
        <v>1278431798820</v>
      </c>
      <c r="N251" s="12">
        <f xml:space="preserve"> Tb_prod[[#This Row],[Costo_Mantenimiento_CLP]] / Tb_prod[[#This Row],[Dias_Operación_Mes]]</f>
        <v>336318113.79310346</v>
      </c>
      <c r="O251" s="11">
        <f>Tb_prod[[#This Row],[Costo_Operativo_CLP]] / Tb_prod[[#This Row],[Producción_Toneladas]]</f>
        <v>328133683.12684321</v>
      </c>
      <c r="P251">
        <v>143</v>
      </c>
      <c r="Q251">
        <v>29</v>
      </c>
      <c r="R251" s="6">
        <v>45240</v>
      </c>
      <c r="S251" t="str">
        <f t="shared" si="6"/>
        <v>viernes</v>
      </c>
      <c r="T251" t="str">
        <f t="shared" si="7"/>
        <v>noviembre</v>
      </c>
      <c r="U251">
        <v>78</v>
      </c>
      <c r="V251">
        <f xml:space="preserve"> Tb_prod[[#This Row],[Emisiones_CO2_ton]] / Tb_prod[[#This Row],[Cantidad_Empleados]]</f>
        <v>6.8986713286713286</v>
      </c>
      <c r="W251" t="str">
        <f>IF(Tb_prod[[#This Row],[Recuperación_Metal_Porcentaje]]&gt;90,"Alta",IF(Tb_prod[[#This Row],[Recuperación_Metal_Porcentaje]]&gt;75,"Media","Baja"))</f>
        <v>Media</v>
      </c>
      <c r="X251" t="str">
        <f>IF(AND(Tb_prod[[#This Row],[Consumo_Energia_MWh]]&lt;=2000,Tb_prod[[#This Row],[Riesgo_Ambiental]]="Alto"),"Crítica","Normal")</f>
        <v>Normal</v>
      </c>
    </row>
    <row r="252" spans="1:24">
      <c r="A252">
        <v>80</v>
      </c>
      <c r="B252" t="str">
        <f>VLOOKUP(Tb_prod[[#This Row],[Región]],AUX_REGION[],2,0)</f>
        <v>Minera Staff</v>
      </c>
      <c r="C252" t="s">
        <v>12</v>
      </c>
      <c r="D252" t="s">
        <v>13</v>
      </c>
      <c r="E252" t="s">
        <v>14</v>
      </c>
      <c r="F252" t="s">
        <v>26</v>
      </c>
      <c r="G252" t="s">
        <v>16</v>
      </c>
      <c r="H252" s="23">
        <v>4625.3999999999996</v>
      </c>
      <c r="I252" s="23">
        <v>1663.73</v>
      </c>
      <c r="J252" s="23">
        <v>49196.480000000003</v>
      </c>
      <c r="K252" s="23">
        <v>1448.07</v>
      </c>
      <c r="L252" s="10">
        <v>16145717490</v>
      </c>
      <c r="M252" s="9">
        <v>150088501440</v>
      </c>
      <c r="N252" s="12">
        <f xml:space="preserve"> Tb_prod[[#This Row],[Costo_Mantenimiento_CLP]] / Tb_prod[[#This Row],[Dias_Operación_Mes]]</f>
        <v>645828699.60000002</v>
      </c>
      <c r="O252" s="11">
        <f>Tb_prod[[#This Row],[Costo_Operativo_CLP]] / Tb_prod[[#This Row],[Producción_Toneladas]]</f>
        <v>32448761.499545988</v>
      </c>
      <c r="P252">
        <v>137</v>
      </c>
      <c r="Q252">
        <v>25</v>
      </c>
      <c r="R252" s="6">
        <v>45318</v>
      </c>
      <c r="S252" t="str">
        <f t="shared" si="6"/>
        <v>sábado</v>
      </c>
      <c r="T252" t="str">
        <f t="shared" si="7"/>
        <v>enero</v>
      </c>
      <c r="U252">
        <v>82.77</v>
      </c>
      <c r="V252">
        <f xml:space="preserve"> Tb_prod[[#This Row],[Emisiones_CO2_ton]] / Tb_prod[[#This Row],[Cantidad_Empleados]]</f>
        <v>10.56985401459854</v>
      </c>
      <c r="W252" t="str">
        <f>IF(Tb_prod[[#This Row],[Recuperación_Metal_Porcentaje]]&gt;90,"Alta",IF(Tb_prod[[#This Row],[Recuperación_Metal_Porcentaje]]&gt;75,"Media","Baja"))</f>
        <v>Media</v>
      </c>
      <c r="X252" t="str">
        <f>IF(AND(Tb_prod[[#This Row],[Consumo_Energia_MWh]]&lt;=2000,Tb_prod[[#This Row],[Riesgo_Ambiental]]="Alto"),"Crítica","Normal")</f>
        <v>Normal</v>
      </c>
    </row>
    <row r="253" spans="1:24">
      <c r="A253">
        <v>480</v>
      </c>
      <c r="B253" t="str">
        <f>VLOOKUP(Tb_prod[[#This Row],[Región]],AUX_REGION[],2,0)</f>
        <v>Minera del Norte</v>
      </c>
      <c r="C253" t="s">
        <v>17</v>
      </c>
      <c r="D253" t="s">
        <v>18</v>
      </c>
      <c r="E253" t="s">
        <v>19</v>
      </c>
      <c r="F253" t="s">
        <v>24</v>
      </c>
      <c r="G253" t="s">
        <v>22</v>
      </c>
      <c r="H253" s="23">
        <v>7573.55</v>
      </c>
      <c r="I253" s="23">
        <v>1236.0999999999999</v>
      </c>
      <c r="J253" s="23">
        <v>49309.02</v>
      </c>
      <c r="K253" s="23">
        <v>861.05</v>
      </c>
      <c r="L253" s="10">
        <v>25990106040</v>
      </c>
      <c r="M253" s="9">
        <v>94092826230</v>
      </c>
      <c r="N253" s="12">
        <f xml:space="preserve"> Tb_prod[[#This Row],[Costo_Mantenimiento_CLP]] / Tb_prod[[#This Row],[Dias_Operación_Mes]]</f>
        <v>1130004610.4347825</v>
      </c>
      <c r="O253" s="11">
        <f>Tb_prod[[#This Row],[Costo_Operativo_CLP]] / Tb_prod[[#This Row],[Producción_Toneladas]]</f>
        <v>12423873.379062658</v>
      </c>
      <c r="P253">
        <v>133</v>
      </c>
      <c r="Q253">
        <v>23</v>
      </c>
      <c r="R253" s="6">
        <v>45750</v>
      </c>
      <c r="S253" t="str">
        <f t="shared" si="6"/>
        <v>jueves</v>
      </c>
      <c r="T253" t="str">
        <f t="shared" si="7"/>
        <v>abril</v>
      </c>
      <c r="U253">
        <v>89.27</v>
      </c>
      <c r="V253">
        <f xml:space="preserve"> Tb_prod[[#This Row],[Emisiones_CO2_ton]] / Tb_prod[[#This Row],[Cantidad_Empleados]]</f>
        <v>6.4740601503759398</v>
      </c>
      <c r="W253" t="str">
        <f>IF(Tb_prod[[#This Row],[Recuperación_Metal_Porcentaje]]&gt;90,"Alta",IF(Tb_prod[[#This Row],[Recuperación_Metal_Porcentaje]]&gt;75,"Media","Baja"))</f>
        <v>Media</v>
      </c>
      <c r="X253" t="str">
        <f>IF(AND(Tb_prod[[#This Row],[Consumo_Energia_MWh]]&lt;=2000,Tb_prod[[#This Row],[Riesgo_Ambiental]]="Alto"),"Crítica","Normal")</f>
        <v>Normal</v>
      </c>
    </row>
    <row r="254" spans="1:24">
      <c r="A254">
        <v>278</v>
      </c>
      <c r="B254" t="str">
        <f>VLOOKUP(Tb_prod[[#This Row],[Región]],AUX_REGION[],2,0)</f>
        <v>Minera del Norte</v>
      </c>
      <c r="C254" t="s">
        <v>21</v>
      </c>
      <c r="D254" t="s">
        <v>18</v>
      </c>
      <c r="E254" t="s">
        <v>14</v>
      </c>
      <c r="F254" t="s">
        <v>15</v>
      </c>
      <c r="G254" t="s">
        <v>22</v>
      </c>
      <c r="H254" s="23">
        <v>7460.76</v>
      </c>
      <c r="I254" s="23">
        <v>1486.8</v>
      </c>
      <c r="J254" s="23">
        <v>49382.97</v>
      </c>
      <c r="K254" s="23">
        <v>1066.73</v>
      </c>
      <c r="L254" s="10">
        <v>21865733190</v>
      </c>
      <c r="M254" s="9">
        <v>48611133450</v>
      </c>
      <c r="N254" s="12">
        <f xml:space="preserve"> Tb_prod[[#This Row],[Costo_Mantenimiento_CLP]] / Tb_prod[[#This Row],[Dias_Operación_Mes]]</f>
        <v>753990799.65517247</v>
      </c>
      <c r="O254" s="11">
        <f>Tb_prod[[#This Row],[Costo_Operativo_CLP]] / Tb_prod[[#This Row],[Producción_Toneladas]]</f>
        <v>6515573.9428690905</v>
      </c>
      <c r="P254">
        <v>51</v>
      </c>
      <c r="Q254">
        <v>29</v>
      </c>
      <c r="R254" s="6">
        <v>45829</v>
      </c>
      <c r="S254" t="str">
        <f t="shared" si="6"/>
        <v>sábado</v>
      </c>
      <c r="T254" t="str">
        <f t="shared" si="7"/>
        <v>junio</v>
      </c>
      <c r="U254">
        <v>92.42</v>
      </c>
      <c r="V254">
        <f xml:space="preserve"> Tb_prod[[#This Row],[Emisiones_CO2_ton]] / Tb_prod[[#This Row],[Cantidad_Empleados]]</f>
        <v>20.916274509803923</v>
      </c>
      <c r="W254" t="str">
        <f>IF(Tb_prod[[#This Row],[Recuperación_Metal_Porcentaje]]&gt;90,"Alta",IF(Tb_prod[[#This Row],[Recuperación_Metal_Porcentaje]]&gt;75,"Media","Baja"))</f>
        <v>Alta</v>
      </c>
      <c r="X254" t="str">
        <f>IF(AND(Tb_prod[[#This Row],[Consumo_Energia_MWh]]&lt;=2000,Tb_prod[[#This Row],[Riesgo_Ambiental]]="Alto"),"Crítica","Normal")</f>
        <v>Normal</v>
      </c>
    </row>
    <row r="255" spans="1:24">
      <c r="A255">
        <v>417</v>
      </c>
      <c r="B255" t="str">
        <f>VLOOKUP(Tb_prod[[#This Row],[Región]],AUX_REGION[],2,0)</f>
        <v>Minera Romero</v>
      </c>
      <c r="C255" t="s">
        <v>25</v>
      </c>
      <c r="D255" t="s">
        <v>23</v>
      </c>
      <c r="E255" t="s">
        <v>19</v>
      </c>
      <c r="F255" t="s">
        <v>24</v>
      </c>
      <c r="G255" t="s">
        <v>22</v>
      </c>
      <c r="H255" s="23">
        <v>5783.63</v>
      </c>
      <c r="I255" s="23">
        <v>2080.5100000000002</v>
      </c>
      <c r="J255" s="23">
        <v>49425.78</v>
      </c>
      <c r="K255" s="23">
        <v>1569.02</v>
      </c>
      <c r="L255" s="10">
        <v>34580260980</v>
      </c>
      <c r="M255" s="9">
        <v>139149461520</v>
      </c>
      <c r="N255" s="12">
        <f xml:space="preserve"> Tb_prod[[#This Row],[Costo_Mantenimiento_CLP]] / Tb_prod[[#This Row],[Dias_Operación_Mes]]</f>
        <v>1235009320.7142856</v>
      </c>
      <c r="O255" s="11">
        <f>Tb_prod[[#This Row],[Costo_Operativo_CLP]] / Tb_prod[[#This Row],[Producción_Toneladas]]</f>
        <v>24059191.462801043</v>
      </c>
      <c r="P255">
        <v>153</v>
      </c>
      <c r="Q255">
        <v>28</v>
      </c>
      <c r="R255" s="6">
        <v>45625</v>
      </c>
      <c r="S255" t="str">
        <f t="shared" si="6"/>
        <v>viernes</v>
      </c>
      <c r="T255" t="str">
        <f t="shared" si="7"/>
        <v>noviembre</v>
      </c>
      <c r="U255">
        <v>92.88</v>
      </c>
      <c r="V255">
        <f xml:space="preserve"> Tb_prod[[#This Row],[Emisiones_CO2_ton]] / Tb_prod[[#This Row],[Cantidad_Empleados]]</f>
        <v>10.255032679738562</v>
      </c>
      <c r="W255" t="str">
        <f>IF(Tb_prod[[#This Row],[Recuperación_Metal_Porcentaje]]&gt;90,"Alta",IF(Tb_prod[[#This Row],[Recuperación_Metal_Porcentaje]]&gt;75,"Media","Baja"))</f>
        <v>Alta</v>
      </c>
      <c r="X255" t="str">
        <f>IF(AND(Tb_prod[[#This Row],[Consumo_Energia_MWh]]&lt;=2000,Tb_prod[[#This Row],[Riesgo_Ambiental]]="Alto"),"Crítica","Normal")</f>
        <v>Normal</v>
      </c>
    </row>
    <row r="256" spans="1:24">
      <c r="A256">
        <v>413</v>
      </c>
      <c r="B256" t="str">
        <f>VLOOKUP(Tb_prod[[#This Row],[Región]],AUX_REGION[],2,0)</f>
        <v>Minera Staff</v>
      </c>
      <c r="C256" t="s">
        <v>17</v>
      </c>
      <c r="D256" t="s">
        <v>13</v>
      </c>
      <c r="E256" t="s">
        <v>14</v>
      </c>
      <c r="F256" t="s">
        <v>26</v>
      </c>
      <c r="G256" t="s">
        <v>22</v>
      </c>
      <c r="H256" s="23">
        <v>4299.78</v>
      </c>
      <c r="I256" s="23">
        <v>2166.0300000000002</v>
      </c>
      <c r="J256" s="23">
        <v>49603.51</v>
      </c>
      <c r="K256" s="23">
        <v>592.65</v>
      </c>
      <c r="L256" s="10">
        <v>30286486350</v>
      </c>
      <c r="M256" s="9">
        <v>30713296140</v>
      </c>
      <c r="N256" s="12">
        <f xml:space="preserve"> Tb_prod[[#This Row],[Costo_Mantenimiento_CLP]] / Tb_prod[[#This Row],[Dias_Operación_Mes]]</f>
        <v>1442213635.7142856</v>
      </c>
      <c r="O256" s="11">
        <f>Tb_prod[[#This Row],[Costo_Operativo_CLP]] / Tb_prod[[#This Row],[Producción_Toneladas]]</f>
        <v>7142992.4647307545</v>
      </c>
      <c r="P256">
        <v>132</v>
      </c>
      <c r="Q256">
        <v>21</v>
      </c>
      <c r="R256" s="6">
        <v>44988</v>
      </c>
      <c r="S256" t="str">
        <f t="shared" si="6"/>
        <v>viernes</v>
      </c>
      <c r="T256" t="str">
        <f t="shared" si="7"/>
        <v>marzo</v>
      </c>
      <c r="U256">
        <v>92.25</v>
      </c>
      <c r="V256">
        <f xml:space="preserve"> Tb_prod[[#This Row],[Emisiones_CO2_ton]] / Tb_prod[[#This Row],[Cantidad_Empleados]]</f>
        <v>4.4897727272727268</v>
      </c>
      <c r="W256" t="str">
        <f>IF(Tb_prod[[#This Row],[Recuperación_Metal_Porcentaje]]&gt;90,"Alta",IF(Tb_prod[[#This Row],[Recuperación_Metal_Porcentaje]]&gt;75,"Media","Baja"))</f>
        <v>Alta</v>
      </c>
      <c r="X256" t="str">
        <f>IF(AND(Tb_prod[[#This Row],[Consumo_Energia_MWh]]&lt;=2000,Tb_prod[[#This Row],[Riesgo_Ambiental]]="Alto"),"Crítica","Normal")</f>
        <v>Normal</v>
      </c>
    </row>
    <row r="257" spans="1:24">
      <c r="A257">
        <v>68</v>
      </c>
      <c r="B257" t="str">
        <f>VLOOKUP(Tb_prod[[#This Row],[Región]],AUX_REGION[],2,0)</f>
        <v>Minera Romero</v>
      </c>
      <c r="C257" t="s">
        <v>25</v>
      </c>
      <c r="D257" t="s">
        <v>23</v>
      </c>
      <c r="E257" t="s">
        <v>14</v>
      </c>
      <c r="F257" t="s">
        <v>26</v>
      </c>
      <c r="G257" t="s">
        <v>22</v>
      </c>
      <c r="H257" s="23">
        <v>2718.13</v>
      </c>
      <c r="I257" s="23">
        <v>2753.86</v>
      </c>
      <c r="J257" s="23">
        <v>49607.72</v>
      </c>
      <c r="K257" s="23">
        <v>730.34</v>
      </c>
      <c r="L257" s="10">
        <v>36764920260</v>
      </c>
      <c r="M257" s="9">
        <v>176624468640</v>
      </c>
      <c r="N257" s="12">
        <f xml:space="preserve"> Tb_prod[[#This Row],[Costo_Mantenimiento_CLP]] / Tb_prod[[#This Row],[Dias_Operación_Mes]]</f>
        <v>1414035394.6153846</v>
      </c>
      <c r="O257" s="11">
        <f>Tb_prod[[#This Row],[Costo_Operativo_CLP]] / Tb_prod[[#This Row],[Producción_Toneladas]]</f>
        <v>64980140.258192211</v>
      </c>
      <c r="P257">
        <v>62</v>
      </c>
      <c r="Q257">
        <v>26</v>
      </c>
      <c r="R257" s="6">
        <v>45143</v>
      </c>
      <c r="S257" t="str">
        <f t="shared" si="6"/>
        <v>sábado</v>
      </c>
      <c r="T257" t="str">
        <f t="shared" si="7"/>
        <v>agosto</v>
      </c>
      <c r="U257">
        <v>82.62</v>
      </c>
      <c r="V257">
        <f xml:space="preserve"> Tb_prod[[#This Row],[Emisiones_CO2_ton]] / Tb_prod[[#This Row],[Cantidad_Empleados]]</f>
        <v>11.779677419354838</v>
      </c>
      <c r="W257" t="str">
        <f>IF(Tb_prod[[#This Row],[Recuperación_Metal_Porcentaje]]&gt;90,"Alta",IF(Tb_prod[[#This Row],[Recuperación_Metal_Porcentaje]]&gt;75,"Media","Baja"))</f>
        <v>Media</v>
      </c>
      <c r="X257" t="str">
        <f>IF(AND(Tb_prod[[#This Row],[Consumo_Energia_MWh]]&lt;=2000,Tb_prod[[#This Row],[Riesgo_Ambiental]]="Alto"),"Crítica","Normal")</f>
        <v>Normal</v>
      </c>
    </row>
    <row r="258" spans="1:24">
      <c r="A258">
        <v>235</v>
      </c>
      <c r="B258" t="str">
        <f>VLOOKUP(Tb_prod[[#This Row],[Región]],AUX_REGION[],2,0)</f>
        <v>Minera Staff</v>
      </c>
      <c r="C258" t="s">
        <v>27</v>
      </c>
      <c r="D258" t="s">
        <v>13</v>
      </c>
      <c r="E258" t="s">
        <v>19</v>
      </c>
      <c r="F258" t="s">
        <v>26</v>
      </c>
      <c r="G258" t="s">
        <v>22</v>
      </c>
      <c r="H258" s="23">
        <v>4496.88</v>
      </c>
      <c r="I258" s="23">
        <v>2726.44</v>
      </c>
      <c r="J258" s="23">
        <v>49648.39</v>
      </c>
      <c r="K258" s="23">
        <v>1170.72</v>
      </c>
      <c r="L258" s="10">
        <v>5323866930</v>
      </c>
      <c r="M258" s="9">
        <v>131525305290</v>
      </c>
      <c r="N258" s="12">
        <f xml:space="preserve"> Tb_prod[[#This Row],[Costo_Mantenimiento_CLP]] / Tb_prod[[#This Row],[Dias_Operación_Mes]]</f>
        <v>190138104.64285713</v>
      </c>
      <c r="O258" s="11">
        <f>Tb_prod[[#This Row],[Costo_Operativo_CLP]] / Tb_prod[[#This Row],[Producción_Toneladas]]</f>
        <v>29248124.319528207</v>
      </c>
      <c r="P258">
        <v>176</v>
      </c>
      <c r="Q258">
        <v>28</v>
      </c>
      <c r="R258" s="6">
        <v>45379</v>
      </c>
      <c r="S258" t="str">
        <f t="shared" ref="S258:S314" si="8">TEXT(R258,"dddd")</f>
        <v>jueves</v>
      </c>
      <c r="T258" t="str">
        <f t="shared" ref="T258:T321" si="9">TEXT(R258,"mmmm")</f>
        <v>marzo</v>
      </c>
      <c r="U258">
        <v>82.98</v>
      </c>
      <c r="V258">
        <f xml:space="preserve"> Tb_prod[[#This Row],[Emisiones_CO2_ton]] / Tb_prod[[#This Row],[Cantidad_Empleados]]</f>
        <v>6.6518181818181823</v>
      </c>
      <c r="W258" t="str">
        <f>IF(Tb_prod[[#This Row],[Recuperación_Metal_Porcentaje]]&gt;90,"Alta",IF(Tb_prod[[#This Row],[Recuperación_Metal_Porcentaje]]&gt;75,"Media","Baja"))</f>
        <v>Media</v>
      </c>
      <c r="X258" t="str">
        <f>IF(AND(Tb_prod[[#This Row],[Consumo_Energia_MWh]]&lt;=2000,Tb_prod[[#This Row],[Riesgo_Ambiental]]="Alto"),"Crítica","Normal")</f>
        <v>Normal</v>
      </c>
    </row>
    <row r="259" spans="1:24">
      <c r="A259">
        <v>136</v>
      </c>
      <c r="B259" t="str">
        <f>VLOOKUP(Tb_prod[[#This Row],[Región]],AUX_REGION[],2,0)</f>
        <v>Minera del Norte</v>
      </c>
      <c r="C259" t="s">
        <v>21</v>
      </c>
      <c r="D259" t="s">
        <v>18</v>
      </c>
      <c r="E259" t="s">
        <v>19</v>
      </c>
      <c r="F259" t="s">
        <v>24</v>
      </c>
      <c r="G259" t="s">
        <v>20</v>
      </c>
      <c r="H259" s="23">
        <v>4771.29</v>
      </c>
      <c r="I259" s="23">
        <v>1921.69</v>
      </c>
      <c r="J259" s="23">
        <v>49769.65</v>
      </c>
      <c r="K259" s="23">
        <v>972.65</v>
      </c>
      <c r="L259" s="10">
        <v>26973552870</v>
      </c>
      <c r="M259" s="9">
        <v>95802422580</v>
      </c>
      <c r="N259" s="12">
        <f xml:space="preserve"> Tb_prod[[#This Row],[Costo_Mantenimiento_CLP]] / Tb_prod[[#This Row],[Dias_Operación_Mes]]</f>
        <v>899118429</v>
      </c>
      <c r="O259" s="11">
        <f>Tb_prod[[#This Row],[Costo_Operativo_CLP]] / Tb_prod[[#This Row],[Producción_Toneladas]]</f>
        <v>20078935.168476451</v>
      </c>
      <c r="P259">
        <v>62</v>
      </c>
      <c r="Q259">
        <v>30</v>
      </c>
      <c r="R259" s="6">
        <v>45696</v>
      </c>
      <c r="S259" t="str">
        <f t="shared" si="8"/>
        <v>sábado</v>
      </c>
      <c r="T259" t="str">
        <f t="shared" si="9"/>
        <v>febrero</v>
      </c>
      <c r="U259">
        <v>70.14</v>
      </c>
      <c r="V259">
        <f xml:space="preserve"> Tb_prod[[#This Row],[Emisiones_CO2_ton]] / Tb_prod[[#This Row],[Cantidad_Empleados]]</f>
        <v>15.687903225806451</v>
      </c>
      <c r="W259" t="str">
        <f>IF(Tb_prod[[#This Row],[Recuperación_Metal_Porcentaje]]&gt;90,"Alta",IF(Tb_prod[[#This Row],[Recuperación_Metal_Porcentaje]]&gt;75,"Media","Baja"))</f>
        <v>Baja</v>
      </c>
      <c r="X259" t="str">
        <f>IF(AND(Tb_prod[[#This Row],[Consumo_Energia_MWh]]&lt;=2000,Tb_prod[[#This Row],[Riesgo_Ambiental]]="Alto"),"Crítica","Normal")</f>
        <v>Crítica</v>
      </c>
    </row>
    <row r="260" spans="1:24">
      <c r="A260">
        <v>436</v>
      </c>
      <c r="B260" t="str">
        <f>VLOOKUP(Tb_prod[[#This Row],[Región]],AUX_REGION[],2,0)</f>
        <v>Minera del Norte</v>
      </c>
      <c r="C260" t="s">
        <v>12</v>
      </c>
      <c r="D260" t="s">
        <v>18</v>
      </c>
      <c r="E260" t="s">
        <v>19</v>
      </c>
      <c r="F260" t="s">
        <v>24</v>
      </c>
      <c r="G260" t="s">
        <v>22</v>
      </c>
      <c r="H260" s="23">
        <v>5102.71</v>
      </c>
      <c r="I260" s="23">
        <v>1396.06</v>
      </c>
      <c r="J260" s="23">
        <v>49830.55</v>
      </c>
      <c r="K260" s="23">
        <v>1145.25</v>
      </c>
      <c r="L260" s="10">
        <v>18499948380</v>
      </c>
      <c r="M260" s="9">
        <v>946326447900</v>
      </c>
      <c r="N260" s="12">
        <f xml:space="preserve"> Tb_prod[[#This Row],[Costo_Mantenimiento_CLP]] / Tb_prod[[#This Row],[Dias_Operación_Mes]]</f>
        <v>637929254.48275864</v>
      </c>
      <c r="O260" s="11">
        <f>Tb_prod[[#This Row],[Costo_Operativo_CLP]] / Tb_prod[[#This Row],[Producción_Toneladas]]</f>
        <v>185455659.42410994</v>
      </c>
      <c r="P260">
        <v>186</v>
      </c>
      <c r="Q260">
        <v>29</v>
      </c>
      <c r="R260" s="6">
        <v>45172</v>
      </c>
      <c r="S260" t="str">
        <f t="shared" si="8"/>
        <v>domingo</v>
      </c>
      <c r="T260" t="str">
        <f t="shared" si="9"/>
        <v>septiembre</v>
      </c>
      <c r="U260">
        <v>72.040000000000006</v>
      </c>
      <c r="V260">
        <f xml:space="preserve"> Tb_prod[[#This Row],[Emisiones_CO2_ton]] / Tb_prod[[#This Row],[Cantidad_Empleados]]</f>
        <v>6.157258064516129</v>
      </c>
      <c r="W260" t="str">
        <f>IF(Tb_prod[[#This Row],[Recuperación_Metal_Porcentaje]]&gt;90,"Alta",IF(Tb_prod[[#This Row],[Recuperación_Metal_Porcentaje]]&gt;75,"Media","Baja"))</f>
        <v>Baja</v>
      </c>
      <c r="X260" t="str">
        <f>IF(AND(Tb_prod[[#This Row],[Consumo_Energia_MWh]]&lt;=2000,Tb_prod[[#This Row],[Riesgo_Ambiental]]="Alto"),"Crítica","Normal")</f>
        <v>Normal</v>
      </c>
    </row>
    <row r="261" spans="1:24">
      <c r="A261">
        <v>426</v>
      </c>
      <c r="B261" t="str">
        <f>VLOOKUP(Tb_prod[[#This Row],[Región]],AUX_REGION[],2,0)</f>
        <v>Minera Romero</v>
      </c>
      <c r="C261" t="s">
        <v>25</v>
      </c>
      <c r="D261" t="s">
        <v>23</v>
      </c>
      <c r="E261" t="s">
        <v>14</v>
      </c>
      <c r="F261" t="s">
        <v>26</v>
      </c>
      <c r="G261" t="s">
        <v>16</v>
      </c>
      <c r="H261" s="23">
        <v>6971.6</v>
      </c>
      <c r="I261" s="23">
        <v>1271.6400000000001</v>
      </c>
      <c r="J261" s="23">
        <v>49861.38</v>
      </c>
      <c r="K261" s="23">
        <v>942.84</v>
      </c>
      <c r="L261" s="10">
        <v>11318434020</v>
      </c>
      <c r="M261" s="9">
        <v>163146157110</v>
      </c>
      <c r="N261" s="12">
        <f xml:space="preserve"> Tb_prod[[#This Row],[Costo_Mantenimiento_CLP]] / Tb_prod[[#This Row],[Dias_Operación_Mes]]</f>
        <v>471601417.5</v>
      </c>
      <c r="O261" s="11">
        <f>Tb_prod[[#This Row],[Costo_Operativo_CLP]] / Tb_prod[[#This Row],[Producción_Toneladas]]</f>
        <v>23401537.252567559</v>
      </c>
      <c r="P261">
        <v>240</v>
      </c>
      <c r="Q261">
        <v>24</v>
      </c>
      <c r="R261" s="6">
        <v>45680</v>
      </c>
      <c r="S261" t="str">
        <f t="shared" si="8"/>
        <v>jueves</v>
      </c>
      <c r="T261" t="str">
        <f t="shared" si="9"/>
        <v>enero</v>
      </c>
      <c r="U261">
        <v>86.41</v>
      </c>
      <c r="V261">
        <f xml:space="preserve"> Tb_prod[[#This Row],[Emisiones_CO2_ton]] / Tb_prod[[#This Row],[Cantidad_Empleados]]</f>
        <v>3.9285000000000001</v>
      </c>
      <c r="W261" t="str">
        <f>IF(Tb_prod[[#This Row],[Recuperación_Metal_Porcentaje]]&gt;90,"Alta",IF(Tb_prod[[#This Row],[Recuperación_Metal_Porcentaje]]&gt;75,"Media","Baja"))</f>
        <v>Media</v>
      </c>
      <c r="X261" t="str">
        <f>IF(AND(Tb_prod[[#This Row],[Consumo_Energia_MWh]]&lt;=2000,Tb_prod[[#This Row],[Riesgo_Ambiental]]="Alto"),"Crítica","Normal")</f>
        <v>Normal</v>
      </c>
    </row>
    <row r="262" spans="1:24">
      <c r="A262">
        <v>302</v>
      </c>
      <c r="B262" t="str">
        <f>VLOOKUP(Tb_prod[[#This Row],[Región]],AUX_REGION[],2,0)</f>
        <v>Minera del Norte</v>
      </c>
      <c r="C262" t="s">
        <v>17</v>
      </c>
      <c r="D262" t="s">
        <v>18</v>
      </c>
      <c r="E262" t="s">
        <v>19</v>
      </c>
      <c r="F262" t="s">
        <v>15</v>
      </c>
      <c r="G262" t="s">
        <v>22</v>
      </c>
      <c r="H262" s="23">
        <v>6609.58</v>
      </c>
      <c r="I262" s="23">
        <v>2428.4499999999998</v>
      </c>
      <c r="J262" s="23">
        <v>49909.01</v>
      </c>
      <c r="K262" s="23">
        <v>1259.1600000000001</v>
      </c>
      <c r="L262" s="10">
        <v>21653764920</v>
      </c>
      <c r="M262" s="9">
        <v>519333853860</v>
      </c>
      <c r="N262" s="12">
        <f xml:space="preserve"> Tb_prod[[#This Row],[Costo_Mantenimiento_CLP]] / Tb_prod[[#This Row],[Dias_Operación_Mes]]</f>
        <v>902240205</v>
      </c>
      <c r="O262" s="11">
        <f>Tb_prod[[#This Row],[Costo_Operativo_CLP]] / Tb_prod[[#This Row],[Producción_Toneladas]]</f>
        <v>78572897.802886114</v>
      </c>
      <c r="P262">
        <v>192</v>
      </c>
      <c r="Q262">
        <v>24</v>
      </c>
      <c r="R262" s="6">
        <v>45539</v>
      </c>
      <c r="S262" t="str">
        <f t="shared" si="8"/>
        <v>miércoles</v>
      </c>
      <c r="T262" t="str">
        <f t="shared" si="9"/>
        <v>septiembre</v>
      </c>
      <c r="U262">
        <v>97.41</v>
      </c>
      <c r="V262">
        <f xml:space="preserve"> Tb_prod[[#This Row],[Emisiones_CO2_ton]] / Tb_prod[[#This Row],[Cantidad_Empleados]]</f>
        <v>6.5581250000000004</v>
      </c>
      <c r="W262" t="str">
        <f>IF(Tb_prod[[#This Row],[Recuperación_Metal_Porcentaje]]&gt;90,"Alta",IF(Tb_prod[[#This Row],[Recuperación_Metal_Porcentaje]]&gt;75,"Media","Baja"))</f>
        <v>Alta</v>
      </c>
      <c r="X262" t="str">
        <f>IF(AND(Tb_prod[[#This Row],[Consumo_Energia_MWh]]&lt;=2000,Tb_prod[[#This Row],[Riesgo_Ambiental]]="Alto"),"Crítica","Normal")</f>
        <v>Normal</v>
      </c>
    </row>
    <row r="263" spans="1:24">
      <c r="A263">
        <v>363</v>
      </c>
      <c r="B263" t="str">
        <f>VLOOKUP(Tb_prod[[#This Row],[Región]],AUX_REGION[],2,0)</f>
        <v>Minera del Norte</v>
      </c>
      <c r="C263" t="s">
        <v>12</v>
      </c>
      <c r="D263" t="s">
        <v>18</v>
      </c>
      <c r="E263" t="s">
        <v>14</v>
      </c>
      <c r="F263" t="s">
        <v>24</v>
      </c>
      <c r="G263" t="s">
        <v>16</v>
      </c>
      <c r="H263" s="23">
        <v>3514.96</v>
      </c>
      <c r="I263" s="23">
        <v>2220.34</v>
      </c>
      <c r="J263" s="23">
        <v>49944.54</v>
      </c>
      <c r="K263" s="23">
        <v>670.23</v>
      </c>
      <c r="L263" s="10">
        <v>5440977180</v>
      </c>
      <c r="M263" s="9">
        <v>114330195990</v>
      </c>
      <c r="N263" s="12">
        <f xml:space="preserve"> Tb_prod[[#This Row],[Costo_Mantenimiento_CLP]] / Tb_prod[[#This Row],[Dias_Operación_Mes]]</f>
        <v>194320613.57142857</v>
      </c>
      <c r="O263" s="11">
        <f>Tb_prod[[#This Row],[Costo_Operativo_CLP]] / Tb_prod[[#This Row],[Producción_Toneladas]]</f>
        <v>32526741.695495822</v>
      </c>
      <c r="P263">
        <v>214</v>
      </c>
      <c r="Q263">
        <v>28</v>
      </c>
      <c r="R263" s="6">
        <v>45942</v>
      </c>
      <c r="S263" t="str">
        <f t="shared" si="8"/>
        <v>domingo</v>
      </c>
      <c r="T263" t="str">
        <f t="shared" si="9"/>
        <v>octubre</v>
      </c>
      <c r="U263">
        <v>89.72</v>
      </c>
      <c r="V263">
        <f xml:space="preserve"> Tb_prod[[#This Row],[Emisiones_CO2_ton]] / Tb_prod[[#This Row],[Cantidad_Empleados]]</f>
        <v>3.1319158878504676</v>
      </c>
      <c r="W263" t="str">
        <f>IF(Tb_prod[[#This Row],[Recuperación_Metal_Porcentaje]]&gt;90,"Alta",IF(Tb_prod[[#This Row],[Recuperación_Metal_Porcentaje]]&gt;75,"Media","Baja"))</f>
        <v>Media</v>
      </c>
      <c r="X263" t="str">
        <f>IF(AND(Tb_prod[[#This Row],[Consumo_Energia_MWh]]&lt;=2000,Tb_prod[[#This Row],[Riesgo_Ambiental]]="Alto"),"Crítica","Normal")</f>
        <v>Normal</v>
      </c>
    </row>
    <row r="264" spans="1:24">
      <c r="A264">
        <v>225</v>
      </c>
      <c r="B264" t="str">
        <f>VLOOKUP(Tb_prod[[#This Row],[Región]],AUX_REGION[],2,0)</f>
        <v>Minera Staff</v>
      </c>
      <c r="C264" t="s">
        <v>27</v>
      </c>
      <c r="D264" t="s">
        <v>13</v>
      </c>
      <c r="E264" t="s">
        <v>19</v>
      </c>
      <c r="F264" t="s">
        <v>15</v>
      </c>
      <c r="G264" t="s">
        <v>20</v>
      </c>
      <c r="H264" s="23">
        <v>5948.17</v>
      </c>
      <c r="I264" s="23">
        <v>2187.5</v>
      </c>
      <c r="J264" s="23">
        <v>49951.96</v>
      </c>
      <c r="K264" s="23">
        <v>968.76</v>
      </c>
      <c r="L264" s="10">
        <v>10943393490</v>
      </c>
      <c r="M264" s="9">
        <v>76886322120</v>
      </c>
      <c r="N264" s="12">
        <f xml:space="preserve"> Tb_prod[[#This Row],[Costo_Mantenimiento_CLP]] / Tb_prod[[#This Row],[Dias_Operación_Mes]]</f>
        <v>390835481.78571427</v>
      </c>
      <c r="O264" s="11">
        <f>Tb_prod[[#This Row],[Costo_Operativo_CLP]] / Tb_prod[[#This Row],[Producción_Toneladas]]</f>
        <v>12926046.518509055</v>
      </c>
      <c r="P264">
        <v>239</v>
      </c>
      <c r="Q264">
        <v>28</v>
      </c>
      <c r="R264" s="6">
        <v>44964</v>
      </c>
      <c r="S264" t="str">
        <f t="shared" si="8"/>
        <v>martes</v>
      </c>
      <c r="T264" t="str">
        <f t="shared" si="9"/>
        <v>febrero</v>
      </c>
      <c r="U264">
        <v>85.11</v>
      </c>
      <c r="V264">
        <f xml:space="preserve"> Tb_prod[[#This Row],[Emisiones_CO2_ton]] / Tb_prod[[#This Row],[Cantidad_Empleados]]</f>
        <v>4.0533891213389124</v>
      </c>
      <c r="W264" t="str">
        <f>IF(Tb_prod[[#This Row],[Recuperación_Metal_Porcentaje]]&gt;90,"Alta",IF(Tb_prod[[#This Row],[Recuperación_Metal_Porcentaje]]&gt;75,"Media","Baja"))</f>
        <v>Media</v>
      </c>
      <c r="X264" t="str">
        <f>IF(AND(Tb_prod[[#This Row],[Consumo_Energia_MWh]]&lt;=2000,Tb_prod[[#This Row],[Riesgo_Ambiental]]="Alto"),"Crítica","Normal")</f>
        <v>Normal</v>
      </c>
    </row>
    <row r="265" spans="1:24">
      <c r="A265">
        <v>296</v>
      </c>
      <c r="B265" t="str">
        <f>VLOOKUP(Tb_prod[[#This Row],[Región]],AUX_REGION[],2,0)</f>
        <v>Minera del Norte</v>
      </c>
      <c r="C265" t="s">
        <v>17</v>
      </c>
      <c r="D265" t="s">
        <v>18</v>
      </c>
      <c r="E265" t="s">
        <v>19</v>
      </c>
      <c r="F265" t="s">
        <v>24</v>
      </c>
      <c r="G265" t="s">
        <v>22</v>
      </c>
      <c r="H265" s="23">
        <v>3728.71</v>
      </c>
      <c r="I265" s="23">
        <v>2487.77</v>
      </c>
      <c r="J265" s="23">
        <v>49967.360000000001</v>
      </c>
      <c r="K265" s="23">
        <v>1009.72</v>
      </c>
      <c r="L265" s="10">
        <v>21134048760</v>
      </c>
      <c r="M265" s="9">
        <v>96841047600</v>
      </c>
      <c r="N265" s="12">
        <f xml:space="preserve"> Tb_prod[[#This Row],[Costo_Mantenimiento_CLP]] / Tb_prod[[#This Row],[Dias_Operación_Mes]]</f>
        <v>845361950.39999998</v>
      </c>
      <c r="O265" s="11">
        <f>Tb_prod[[#This Row],[Costo_Operativo_CLP]] / Tb_prod[[#This Row],[Producción_Toneladas]]</f>
        <v>25971729.525760919</v>
      </c>
      <c r="P265">
        <v>161</v>
      </c>
      <c r="Q265">
        <v>25</v>
      </c>
      <c r="R265" s="6">
        <v>45231</v>
      </c>
      <c r="S265" t="str">
        <f t="shared" si="8"/>
        <v>miércoles</v>
      </c>
      <c r="T265" t="str">
        <f t="shared" si="9"/>
        <v>noviembre</v>
      </c>
      <c r="U265">
        <v>72.22</v>
      </c>
      <c r="V265">
        <f xml:space="preserve"> Tb_prod[[#This Row],[Emisiones_CO2_ton]] / Tb_prod[[#This Row],[Cantidad_Empleados]]</f>
        <v>6.2715527950310559</v>
      </c>
      <c r="W265" t="str">
        <f>IF(Tb_prod[[#This Row],[Recuperación_Metal_Porcentaje]]&gt;90,"Alta",IF(Tb_prod[[#This Row],[Recuperación_Metal_Porcentaje]]&gt;75,"Media","Baja"))</f>
        <v>Baja</v>
      </c>
      <c r="X265" t="str">
        <f>IF(AND(Tb_prod[[#This Row],[Consumo_Energia_MWh]]&lt;=2000,Tb_prod[[#This Row],[Riesgo_Ambiental]]="Alto"),"Crítica","Normal")</f>
        <v>Normal</v>
      </c>
    </row>
    <row r="266" spans="1:24">
      <c r="A266">
        <v>243</v>
      </c>
      <c r="B266" t="str">
        <f>VLOOKUP(Tb_prod[[#This Row],[Región]],AUX_REGION[],2,0)</f>
        <v>Minera Romero</v>
      </c>
      <c r="C266" t="s">
        <v>27</v>
      </c>
      <c r="D266" t="s">
        <v>23</v>
      </c>
      <c r="E266" t="s">
        <v>14</v>
      </c>
      <c r="F266" t="s">
        <v>24</v>
      </c>
      <c r="G266" t="s">
        <v>22</v>
      </c>
      <c r="H266" s="23">
        <v>4667.13</v>
      </c>
      <c r="I266" s="23">
        <v>2017.43</v>
      </c>
      <c r="J266" s="23">
        <v>50053.99</v>
      </c>
      <c r="K266" s="23">
        <v>1434.28</v>
      </c>
      <c r="L266" s="10">
        <v>6749900730</v>
      </c>
      <c r="M266" s="9">
        <v>107729319960</v>
      </c>
      <c r="N266" s="12">
        <f xml:space="preserve"> Tb_prod[[#This Row],[Costo_Mantenimiento_CLP]] / Tb_prod[[#This Row],[Dias_Operación_Mes]]</f>
        <v>306813669.54545456</v>
      </c>
      <c r="O266" s="11">
        <f>Tb_prod[[#This Row],[Costo_Operativo_CLP]] / Tb_prod[[#This Row],[Producción_Toneladas]]</f>
        <v>23082562.508436661</v>
      </c>
      <c r="P266">
        <v>226</v>
      </c>
      <c r="Q266">
        <v>22</v>
      </c>
      <c r="R266" s="6">
        <v>45403</v>
      </c>
      <c r="S266" t="str">
        <f t="shared" si="8"/>
        <v>domingo</v>
      </c>
      <c r="T266" t="str">
        <f t="shared" si="9"/>
        <v>abril</v>
      </c>
      <c r="U266">
        <v>77.95</v>
      </c>
      <c r="V266">
        <f xml:space="preserve"> Tb_prod[[#This Row],[Emisiones_CO2_ton]] / Tb_prod[[#This Row],[Cantidad_Empleados]]</f>
        <v>6.3463716814159294</v>
      </c>
      <c r="W266" t="str">
        <f>IF(Tb_prod[[#This Row],[Recuperación_Metal_Porcentaje]]&gt;90,"Alta",IF(Tb_prod[[#This Row],[Recuperación_Metal_Porcentaje]]&gt;75,"Media","Baja"))</f>
        <v>Media</v>
      </c>
      <c r="X266" t="str">
        <f>IF(AND(Tb_prod[[#This Row],[Consumo_Energia_MWh]]&lt;=2000,Tb_prod[[#This Row],[Riesgo_Ambiental]]="Alto"),"Crítica","Normal")</f>
        <v>Normal</v>
      </c>
    </row>
    <row r="267" spans="1:24">
      <c r="A267">
        <v>39</v>
      </c>
      <c r="B267" t="str">
        <f>VLOOKUP(Tb_prod[[#This Row],[Región]],AUX_REGION[],2,0)</f>
        <v>Minera del Norte</v>
      </c>
      <c r="C267" t="s">
        <v>27</v>
      </c>
      <c r="D267" t="s">
        <v>18</v>
      </c>
      <c r="E267" t="s">
        <v>14</v>
      </c>
      <c r="F267" t="s">
        <v>26</v>
      </c>
      <c r="G267" t="s">
        <v>22</v>
      </c>
      <c r="H267" s="23">
        <v>5985.33</v>
      </c>
      <c r="I267" s="23">
        <v>2223.84</v>
      </c>
      <c r="J267" s="23">
        <v>50077.57</v>
      </c>
      <c r="K267" s="23">
        <v>1437.01</v>
      </c>
      <c r="L267" s="10">
        <v>35108131770</v>
      </c>
      <c r="M267" s="9">
        <v>118478711700</v>
      </c>
      <c r="N267" s="12">
        <f xml:space="preserve"> Tb_prod[[#This Row],[Costo_Mantenimiento_CLP]] / Tb_prod[[#This Row],[Dias_Operación_Mes]]</f>
        <v>1350312760.3846154</v>
      </c>
      <c r="O267" s="11">
        <f>Tb_prod[[#This Row],[Costo_Operativo_CLP]] / Tb_prod[[#This Row],[Producción_Toneladas]]</f>
        <v>19794850.359128069</v>
      </c>
      <c r="P267">
        <v>101</v>
      </c>
      <c r="Q267">
        <v>26</v>
      </c>
      <c r="R267" s="6">
        <v>45168</v>
      </c>
      <c r="S267" t="str">
        <f t="shared" si="8"/>
        <v>miércoles</v>
      </c>
      <c r="T267" t="str">
        <f t="shared" si="9"/>
        <v>agosto</v>
      </c>
      <c r="U267">
        <v>71</v>
      </c>
      <c r="V267">
        <f xml:space="preserve"> Tb_prod[[#This Row],[Emisiones_CO2_ton]] / Tb_prod[[#This Row],[Cantidad_Empleados]]</f>
        <v>14.227821782178218</v>
      </c>
      <c r="W267" t="str">
        <f>IF(Tb_prod[[#This Row],[Recuperación_Metal_Porcentaje]]&gt;90,"Alta",IF(Tb_prod[[#This Row],[Recuperación_Metal_Porcentaje]]&gt;75,"Media","Baja"))</f>
        <v>Baja</v>
      </c>
      <c r="X267" t="str">
        <f>IF(AND(Tb_prod[[#This Row],[Consumo_Energia_MWh]]&lt;=2000,Tb_prod[[#This Row],[Riesgo_Ambiental]]="Alto"),"Crítica","Normal")</f>
        <v>Normal</v>
      </c>
    </row>
    <row r="268" spans="1:24">
      <c r="A268">
        <v>106</v>
      </c>
      <c r="B268" t="str">
        <f>VLOOKUP(Tb_prod[[#This Row],[Región]],AUX_REGION[],2,0)</f>
        <v>Minera Staff</v>
      </c>
      <c r="C268" t="s">
        <v>17</v>
      </c>
      <c r="D268" t="s">
        <v>13</v>
      </c>
      <c r="E268" t="s">
        <v>14</v>
      </c>
      <c r="F268" t="s">
        <v>15</v>
      </c>
      <c r="G268" t="s">
        <v>22</v>
      </c>
      <c r="H268" s="23">
        <v>3682.44</v>
      </c>
      <c r="I268" s="23">
        <v>2619.77</v>
      </c>
      <c r="J268" s="23">
        <v>50121</v>
      </c>
      <c r="K268" s="23">
        <v>624.98</v>
      </c>
      <c r="L268" s="10">
        <v>3976131420</v>
      </c>
      <c r="M268" s="9">
        <v>30800371050</v>
      </c>
      <c r="N268" s="12">
        <f xml:space="preserve"> Tb_prod[[#This Row],[Costo_Mantenimiento_CLP]] / Tb_prod[[#This Row],[Dias_Operación_Mes]]</f>
        <v>142004693.57142857</v>
      </c>
      <c r="O268" s="11">
        <f>Tb_prod[[#This Row],[Costo_Operativo_CLP]] / Tb_prod[[#This Row],[Producción_Toneladas]]</f>
        <v>8364120.2707987092</v>
      </c>
      <c r="P268">
        <v>136</v>
      </c>
      <c r="Q268">
        <v>28</v>
      </c>
      <c r="R268" s="6">
        <v>45324</v>
      </c>
      <c r="S268" t="str">
        <f t="shared" si="8"/>
        <v>viernes</v>
      </c>
      <c r="T268" t="str">
        <f t="shared" si="9"/>
        <v>febrero</v>
      </c>
      <c r="U268">
        <v>83.43</v>
      </c>
      <c r="V268">
        <f xml:space="preserve"> Tb_prod[[#This Row],[Emisiones_CO2_ton]] / Tb_prod[[#This Row],[Cantidad_Empleados]]</f>
        <v>4.5954411764705885</v>
      </c>
      <c r="W268" t="str">
        <f>IF(Tb_prod[[#This Row],[Recuperación_Metal_Porcentaje]]&gt;90,"Alta",IF(Tb_prod[[#This Row],[Recuperación_Metal_Porcentaje]]&gt;75,"Media","Baja"))</f>
        <v>Media</v>
      </c>
      <c r="X268" t="str">
        <f>IF(AND(Tb_prod[[#This Row],[Consumo_Energia_MWh]]&lt;=2000,Tb_prod[[#This Row],[Riesgo_Ambiental]]="Alto"),"Crítica","Normal")</f>
        <v>Normal</v>
      </c>
    </row>
    <row r="269" spans="1:24">
      <c r="A269">
        <v>405</v>
      </c>
      <c r="B269" t="str">
        <f>VLOOKUP(Tb_prod[[#This Row],[Región]],AUX_REGION[],2,0)</f>
        <v>Minera del Norte</v>
      </c>
      <c r="C269" t="s">
        <v>12</v>
      </c>
      <c r="D269" t="s">
        <v>18</v>
      </c>
      <c r="E269" t="s">
        <v>19</v>
      </c>
      <c r="F269" t="s">
        <v>26</v>
      </c>
      <c r="G269" t="s">
        <v>22</v>
      </c>
      <c r="H269" s="23">
        <v>6978.15</v>
      </c>
      <c r="I269" s="23">
        <v>2233.9299999999998</v>
      </c>
      <c r="J269" s="23">
        <v>50298.42</v>
      </c>
      <c r="K269" s="23">
        <v>490.01</v>
      </c>
      <c r="L269" s="10">
        <v>34045352460</v>
      </c>
      <c r="M269" s="9">
        <v>14672888640</v>
      </c>
      <c r="N269" s="12">
        <f xml:space="preserve"> Tb_prod[[#This Row],[Costo_Mantenimiento_CLP]] / Tb_prod[[#This Row],[Dias_Operación_Mes]]</f>
        <v>1547516020.909091</v>
      </c>
      <c r="O269" s="11">
        <f>Tb_prod[[#This Row],[Costo_Operativo_CLP]] / Tb_prod[[#This Row],[Producción_Toneladas]]</f>
        <v>2102690.3462952217</v>
      </c>
      <c r="P269">
        <v>107</v>
      </c>
      <c r="Q269">
        <v>22</v>
      </c>
      <c r="R269" s="6">
        <v>45998</v>
      </c>
      <c r="S269" t="str">
        <f t="shared" si="8"/>
        <v>domingo</v>
      </c>
      <c r="T269" t="str">
        <f t="shared" si="9"/>
        <v>diciembre</v>
      </c>
      <c r="U269">
        <v>96.7</v>
      </c>
      <c r="V269">
        <f xml:space="preserve"> Tb_prod[[#This Row],[Emisiones_CO2_ton]] / Tb_prod[[#This Row],[Cantidad_Empleados]]</f>
        <v>4.5795327102803736</v>
      </c>
      <c r="W269" t="str">
        <f>IF(Tb_prod[[#This Row],[Recuperación_Metal_Porcentaje]]&gt;90,"Alta",IF(Tb_prod[[#This Row],[Recuperación_Metal_Porcentaje]]&gt;75,"Media","Baja"))</f>
        <v>Alta</v>
      </c>
      <c r="X269" t="str">
        <f>IF(AND(Tb_prod[[#This Row],[Consumo_Energia_MWh]]&lt;=2000,Tb_prod[[#This Row],[Riesgo_Ambiental]]="Alto"),"Crítica","Normal")</f>
        <v>Normal</v>
      </c>
    </row>
    <row r="270" spans="1:24">
      <c r="A270">
        <v>163</v>
      </c>
      <c r="B270" t="str">
        <f>VLOOKUP(Tb_prod[[#This Row],[Región]],AUX_REGION[],2,0)</f>
        <v>Minera Staff</v>
      </c>
      <c r="C270" t="s">
        <v>17</v>
      </c>
      <c r="D270" t="s">
        <v>13</v>
      </c>
      <c r="E270" t="s">
        <v>14</v>
      </c>
      <c r="F270" t="s">
        <v>15</v>
      </c>
      <c r="G270" t="s">
        <v>16</v>
      </c>
      <c r="H270" s="23">
        <v>4326.25</v>
      </c>
      <c r="I270" s="23">
        <v>1977.93</v>
      </c>
      <c r="J270" s="23">
        <v>50371.11</v>
      </c>
      <c r="K270" s="23">
        <v>992.5</v>
      </c>
      <c r="L270" s="10">
        <v>27979303230</v>
      </c>
      <c r="M270" s="9">
        <v>49916718180</v>
      </c>
      <c r="N270" s="12">
        <f xml:space="preserve"> Tb_prod[[#This Row],[Costo_Mantenimiento_CLP]] / Tb_prod[[#This Row],[Dias_Operación_Mes]]</f>
        <v>964803559.65517247</v>
      </c>
      <c r="O270" s="11">
        <f>Tb_prod[[#This Row],[Costo_Operativo_CLP]] / Tb_prod[[#This Row],[Producción_Toneladas]]</f>
        <v>11538103.017624963</v>
      </c>
      <c r="P270">
        <v>245</v>
      </c>
      <c r="Q270">
        <v>29</v>
      </c>
      <c r="R270" s="6">
        <v>45678</v>
      </c>
      <c r="S270" t="str">
        <f t="shared" si="8"/>
        <v>martes</v>
      </c>
      <c r="T270" t="str">
        <f t="shared" si="9"/>
        <v>enero</v>
      </c>
      <c r="U270">
        <v>73.53</v>
      </c>
      <c r="V270">
        <f xml:space="preserve"> Tb_prod[[#This Row],[Emisiones_CO2_ton]] / Tb_prod[[#This Row],[Cantidad_Empleados]]</f>
        <v>4.0510204081632653</v>
      </c>
      <c r="W270" t="str">
        <f>IF(Tb_prod[[#This Row],[Recuperación_Metal_Porcentaje]]&gt;90,"Alta",IF(Tb_prod[[#This Row],[Recuperación_Metal_Porcentaje]]&gt;75,"Media","Baja"))</f>
        <v>Baja</v>
      </c>
      <c r="X270" t="str">
        <f>IF(AND(Tb_prod[[#This Row],[Consumo_Energia_MWh]]&lt;=2000,Tb_prod[[#This Row],[Riesgo_Ambiental]]="Alto"),"Crítica","Normal")</f>
        <v>Normal</v>
      </c>
    </row>
    <row r="271" spans="1:24">
      <c r="A271">
        <v>466</v>
      </c>
      <c r="B271" t="str">
        <f>VLOOKUP(Tb_prod[[#This Row],[Región]],AUX_REGION[],2,0)</f>
        <v>Minera Romero</v>
      </c>
      <c r="C271" t="s">
        <v>25</v>
      </c>
      <c r="D271" t="s">
        <v>23</v>
      </c>
      <c r="E271" t="s">
        <v>19</v>
      </c>
      <c r="F271" t="s">
        <v>15</v>
      </c>
      <c r="G271" t="s">
        <v>16</v>
      </c>
      <c r="H271" s="23">
        <v>2971.75</v>
      </c>
      <c r="I271" s="23">
        <v>2092.59</v>
      </c>
      <c r="J271" s="23">
        <v>50403.22</v>
      </c>
      <c r="K271" s="23">
        <v>1317.62</v>
      </c>
      <c r="L271" s="10">
        <v>3231221040</v>
      </c>
      <c r="M271" s="9">
        <v>46049027850</v>
      </c>
      <c r="N271" s="12">
        <f xml:space="preserve"> Tb_prod[[#This Row],[Costo_Mantenimiento_CLP]] / Tb_prod[[#This Row],[Dias_Operación_Mes]]</f>
        <v>119674853.33333333</v>
      </c>
      <c r="O271" s="11">
        <f>Tb_prod[[#This Row],[Costo_Operativo_CLP]] / Tb_prod[[#This Row],[Producción_Toneladas]]</f>
        <v>15495592.782030789</v>
      </c>
      <c r="P271">
        <v>257</v>
      </c>
      <c r="Q271">
        <v>27</v>
      </c>
      <c r="R271" s="6">
        <v>44965</v>
      </c>
      <c r="S271" t="str">
        <f t="shared" si="8"/>
        <v>miércoles</v>
      </c>
      <c r="T271" t="str">
        <f t="shared" si="9"/>
        <v>febrero</v>
      </c>
      <c r="U271">
        <v>89.52</v>
      </c>
      <c r="V271">
        <f xml:space="preserve"> Tb_prod[[#This Row],[Emisiones_CO2_ton]] / Tb_prod[[#This Row],[Cantidad_Empleados]]</f>
        <v>5.1269260700389099</v>
      </c>
      <c r="W271" t="str">
        <f>IF(Tb_prod[[#This Row],[Recuperación_Metal_Porcentaje]]&gt;90,"Alta",IF(Tb_prod[[#This Row],[Recuperación_Metal_Porcentaje]]&gt;75,"Media","Baja"))</f>
        <v>Media</v>
      </c>
      <c r="X271" t="str">
        <f>IF(AND(Tb_prod[[#This Row],[Consumo_Energia_MWh]]&lt;=2000,Tb_prod[[#This Row],[Riesgo_Ambiental]]="Alto"),"Crítica","Normal")</f>
        <v>Normal</v>
      </c>
    </row>
    <row r="272" spans="1:24">
      <c r="A272">
        <v>368</v>
      </c>
      <c r="B272" t="str">
        <f>VLOOKUP(Tb_prod[[#This Row],[Región]],AUX_REGION[],2,0)</f>
        <v>Minera Romero</v>
      </c>
      <c r="C272" t="s">
        <v>21</v>
      </c>
      <c r="D272" t="s">
        <v>23</v>
      </c>
      <c r="E272" t="s">
        <v>14</v>
      </c>
      <c r="F272" t="s">
        <v>15</v>
      </c>
      <c r="G272" t="s">
        <v>20</v>
      </c>
      <c r="H272" s="23">
        <v>5309.29</v>
      </c>
      <c r="I272" s="23">
        <v>1446.88</v>
      </c>
      <c r="J272" s="23">
        <v>50476.3</v>
      </c>
      <c r="K272" s="23">
        <v>892.62</v>
      </c>
      <c r="L272" s="10">
        <v>37594442430</v>
      </c>
      <c r="M272" s="9">
        <v>127445053410</v>
      </c>
      <c r="N272" s="12">
        <f xml:space="preserve"> Tb_prod[[#This Row],[Costo_Mantenimiento_CLP]] / Tb_prod[[#This Row],[Dias_Operación_Mes]]</f>
        <v>1253148081</v>
      </c>
      <c r="O272" s="11">
        <f>Tb_prod[[#This Row],[Costo_Operativo_CLP]] / Tb_prod[[#This Row],[Producción_Toneladas]]</f>
        <v>24004161.27391798</v>
      </c>
      <c r="P272">
        <v>249</v>
      </c>
      <c r="Q272">
        <v>30</v>
      </c>
      <c r="R272" s="6">
        <v>45339</v>
      </c>
      <c r="S272" t="str">
        <f t="shared" si="8"/>
        <v>sábado</v>
      </c>
      <c r="T272" t="str">
        <f t="shared" si="9"/>
        <v>febrero</v>
      </c>
      <c r="U272">
        <v>84.31</v>
      </c>
      <c r="V272">
        <f xml:space="preserve"> Tb_prod[[#This Row],[Emisiones_CO2_ton]] / Tb_prod[[#This Row],[Cantidad_Empleados]]</f>
        <v>3.584819277108434</v>
      </c>
      <c r="W272" t="str">
        <f>IF(Tb_prod[[#This Row],[Recuperación_Metal_Porcentaje]]&gt;90,"Alta",IF(Tb_prod[[#This Row],[Recuperación_Metal_Porcentaje]]&gt;75,"Media","Baja"))</f>
        <v>Media</v>
      </c>
      <c r="X272" t="str">
        <f>IF(AND(Tb_prod[[#This Row],[Consumo_Energia_MWh]]&lt;=2000,Tb_prod[[#This Row],[Riesgo_Ambiental]]="Alto"),"Crítica","Normal")</f>
        <v>Crítica</v>
      </c>
    </row>
    <row r="273" spans="1:24">
      <c r="A273">
        <v>84</v>
      </c>
      <c r="B273" t="str">
        <f>VLOOKUP(Tb_prod[[#This Row],[Región]],AUX_REGION[],2,0)</f>
        <v>Minera Romero</v>
      </c>
      <c r="C273" t="s">
        <v>17</v>
      </c>
      <c r="D273" t="s">
        <v>23</v>
      </c>
      <c r="E273" t="s">
        <v>19</v>
      </c>
      <c r="F273" t="s">
        <v>26</v>
      </c>
      <c r="G273" t="s">
        <v>22</v>
      </c>
      <c r="H273" s="23">
        <v>2701.21</v>
      </c>
      <c r="I273" s="23">
        <v>2375.65</v>
      </c>
      <c r="J273" s="23">
        <v>50633.31</v>
      </c>
      <c r="K273" s="23">
        <v>1000.83</v>
      </c>
      <c r="L273" s="10">
        <v>35231827050</v>
      </c>
      <c r="M273" s="9">
        <v>19642296510</v>
      </c>
      <c r="N273" s="12">
        <f xml:space="preserve"> Tb_prod[[#This Row],[Costo_Mantenimiento_CLP]] / Tb_prod[[#This Row],[Dias_Operación_Mes]]</f>
        <v>1761591352.5</v>
      </c>
      <c r="O273" s="11">
        <f>Tb_prod[[#This Row],[Costo_Operativo_CLP]] / Tb_prod[[#This Row],[Producción_Toneladas]]</f>
        <v>7271665.8497488163</v>
      </c>
      <c r="P273">
        <v>71</v>
      </c>
      <c r="Q273">
        <v>20</v>
      </c>
      <c r="R273" s="6">
        <v>45157</v>
      </c>
      <c r="S273" t="str">
        <f t="shared" si="8"/>
        <v>sábado</v>
      </c>
      <c r="T273" t="str">
        <f t="shared" si="9"/>
        <v>agosto</v>
      </c>
      <c r="U273">
        <v>91.43</v>
      </c>
      <c r="V273">
        <f xml:space="preserve"> Tb_prod[[#This Row],[Emisiones_CO2_ton]] / Tb_prod[[#This Row],[Cantidad_Empleados]]</f>
        <v>14.096197183098592</v>
      </c>
      <c r="W273" t="str">
        <f>IF(Tb_prod[[#This Row],[Recuperación_Metal_Porcentaje]]&gt;90,"Alta",IF(Tb_prod[[#This Row],[Recuperación_Metal_Porcentaje]]&gt;75,"Media","Baja"))</f>
        <v>Alta</v>
      </c>
      <c r="X273" t="str">
        <f>IF(AND(Tb_prod[[#This Row],[Consumo_Energia_MWh]]&lt;=2000,Tb_prod[[#This Row],[Riesgo_Ambiental]]="Alto"),"Crítica","Normal")</f>
        <v>Normal</v>
      </c>
    </row>
    <row r="274" spans="1:24">
      <c r="A274">
        <v>109</v>
      </c>
      <c r="B274" t="str">
        <f>VLOOKUP(Tb_prod[[#This Row],[Región]],AUX_REGION[],2,0)</f>
        <v>Minera del Norte</v>
      </c>
      <c r="C274" t="s">
        <v>21</v>
      </c>
      <c r="D274" t="s">
        <v>18</v>
      </c>
      <c r="E274" t="s">
        <v>19</v>
      </c>
      <c r="F274" t="s">
        <v>24</v>
      </c>
      <c r="G274" t="s">
        <v>16</v>
      </c>
      <c r="H274" s="23">
        <v>4896.47</v>
      </c>
      <c r="I274" s="23">
        <v>1926.59</v>
      </c>
      <c r="J274" s="23">
        <v>50641.01</v>
      </c>
      <c r="K274" s="23">
        <v>1201.44</v>
      </c>
      <c r="L274" s="10">
        <v>7558870050</v>
      </c>
      <c r="M274" s="9">
        <v>103567073220</v>
      </c>
      <c r="N274" s="12">
        <f xml:space="preserve"> Tb_prod[[#This Row],[Costo_Mantenimiento_CLP]] / Tb_prod[[#This Row],[Dias_Operación_Mes]]</f>
        <v>314952918.75</v>
      </c>
      <c r="O274" s="11">
        <f>Tb_prod[[#This Row],[Costo_Operativo_CLP]] / Tb_prod[[#This Row],[Producción_Toneladas]]</f>
        <v>21151375.01506187</v>
      </c>
      <c r="P274">
        <v>296</v>
      </c>
      <c r="Q274">
        <v>24</v>
      </c>
      <c r="R274" s="6">
        <v>45319</v>
      </c>
      <c r="S274" t="str">
        <f t="shared" si="8"/>
        <v>domingo</v>
      </c>
      <c r="T274" t="str">
        <f t="shared" si="9"/>
        <v>enero</v>
      </c>
      <c r="U274">
        <v>88.48</v>
      </c>
      <c r="V274">
        <f xml:space="preserve"> Tb_prod[[#This Row],[Emisiones_CO2_ton]] / Tb_prod[[#This Row],[Cantidad_Empleados]]</f>
        <v>4.058918918918919</v>
      </c>
      <c r="W274" t="str">
        <f>IF(Tb_prod[[#This Row],[Recuperación_Metal_Porcentaje]]&gt;90,"Alta",IF(Tb_prod[[#This Row],[Recuperación_Metal_Porcentaje]]&gt;75,"Media","Baja"))</f>
        <v>Media</v>
      </c>
      <c r="X274" t="str">
        <f>IF(AND(Tb_prod[[#This Row],[Consumo_Energia_MWh]]&lt;=2000,Tb_prod[[#This Row],[Riesgo_Ambiental]]="Alto"),"Crítica","Normal")</f>
        <v>Normal</v>
      </c>
    </row>
    <row r="275" spans="1:24">
      <c r="A275">
        <v>185</v>
      </c>
      <c r="B275" t="str">
        <f>VLOOKUP(Tb_prod[[#This Row],[Región]],AUX_REGION[],2,0)</f>
        <v>Minera del Norte</v>
      </c>
      <c r="C275" t="s">
        <v>25</v>
      </c>
      <c r="D275" t="s">
        <v>18</v>
      </c>
      <c r="E275" t="s">
        <v>19</v>
      </c>
      <c r="F275" t="s">
        <v>15</v>
      </c>
      <c r="G275" t="s">
        <v>22</v>
      </c>
      <c r="H275" s="23">
        <v>5753.63</v>
      </c>
      <c r="I275" s="23">
        <v>2223.5</v>
      </c>
      <c r="J275" s="23">
        <v>50652.22</v>
      </c>
      <c r="K275" s="23">
        <v>959.79</v>
      </c>
      <c r="L275" s="10">
        <v>12958336440</v>
      </c>
      <c r="M275" s="9">
        <v>98996318370</v>
      </c>
      <c r="N275" s="12">
        <f xml:space="preserve"> Tb_prod[[#This Row],[Costo_Mantenimiento_CLP]] / Tb_prod[[#This Row],[Dias_Operación_Mes]]</f>
        <v>479938386.66666669</v>
      </c>
      <c r="O275" s="11">
        <f>Tb_prod[[#This Row],[Costo_Operativo_CLP]] / Tb_prod[[#This Row],[Producción_Toneladas]]</f>
        <v>17205888.86841872</v>
      </c>
      <c r="P275">
        <v>121</v>
      </c>
      <c r="Q275">
        <v>27</v>
      </c>
      <c r="R275" s="6">
        <v>45550</v>
      </c>
      <c r="S275" t="str">
        <f t="shared" si="8"/>
        <v>domingo</v>
      </c>
      <c r="T275" t="str">
        <f t="shared" si="9"/>
        <v>septiembre</v>
      </c>
      <c r="U275">
        <v>86.46</v>
      </c>
      <c r="V275">
        <f xml:space="preserve"> Tb_prod[[#This Row],[Emisiones_CO2_ton]] / Tb_prod[[#This Row],[Cantidad_Empleados]]</f>
        <v>7.9321487603305778</v>
      </c>
      <c r="W275" t="str">
        <f>IF(Tb_prod[[#This Row],[Recuperación_Metal_Porcentaje]]&gt;90,"Alta",IF(Tb_prod[[#This Row],[Recuperación_Metal_Porcentaje]]&gt;75,"Media","Baja"))</f>
        <v>Media</v>
      </c>
      <c r="X275" t="str">
        <f>IF(AND(Tb_prod[[#This Row],[Consumo_Energia_MWh]]&lt;=2000,Tb_prod[[#This Row],[Riesgo_Ambiental]]="Alto"),"Crítica","Normal")</f>
        <v>Normal</v>
      </c>
    </row>
    <row r="276" spans="1:24">
      <c r="A276">
        <v>133</v>
      </c>
      <c r="B276" t="str">
        <f>VLOOKUP(Tb_prod[[#This Row],[Región]],AUX_REGION[],2,0)</f>
        <v>Minera Romero</v>
      </c>
      <c r="C276" t="s">
        <v>12</v>
      </c>
      <c r="D276" t="s">
        <v>23</v>
      </c>
      <c r="E276" t="s">
        <v>19</v>
      </c>
      <c r="F276" t="s">
        <v>26</v>
      </c>
      <c r="G276" t="s">
        <v>20</v>
      </c>
      <c r="H276" s="23">
        <v>6560.31</v>
      </c>
      <c r="I276" s="23">
        <v>2219.87</v>
      </c>
      <c r="J276" s="23">
        <v>50752.11</v>
      </c>
      <c r="K276" s="23">
        <v>1529.71</v>
      </c>
      <c r="L276" s="10">
        <v>9430891200</v>
      </c>
      <c r="M276" s="9">
        <v>1610537149740</v>
      </c>
      <c r="N276" s="12">
        <f xml:space="preserve"> Tb_prod[[#This Row],[Costo_Mantenimiento_CLP]] / Tb_prod[[#This Row],[Dias_Operación_Mes]]</f>
        <v>349292266.66666669</v>
      </c>
      <c r="O276" s="11">
        <f>Tb_prod[[#This Row],[Costo_Operativo_CLP]] / Tb_prod[[#This Row],[Producción_Toneladas]]</f>
        <v>245497110.61519957</v>
      </c>
      <c r="P276">
        <v>112</v>
      </c>
      <c r="Q276">
        <v>27</v>
      </c>
      <c r="R276" s="6">
        <v>45504</v>
      </c>
      <c r="S276" t="str">
        <f t="shared" si="8"/>
        <v>miércoles</v>
      </c>
      <c r="T276" t="str">
        <f t="shared" si="9"/>
        <v>julio</v>
      </c>
      <c r="U276">
        <v>78.39</v>
      </c>
      <c r="V276">
        <f xml:space="preserve"> Tb_prod[[#This Row],[Emisiones_CO2_ton]] / Tb_prod[[#This Row],[Cantidad_Empleados]]</f>
        <v>13.658125</v>
      </c>
      <c r="W276" t="str">
        <f>IF(Tb_prod[[#This Row],[Recuperación_Metal_Porcentaje]]&gt;90,"Alta",IF(Tb_prod[[#This Row],[Recuperación_Metal_Porcentaje]]&gt;75,"Media","Baja"))</f>
        <v>Media</v>
      </c>
      <c r="X276" t="str">
        <f>IF(AND(Tb_prod[[#This Row],[Consumo_Energia_MWh]]&lt;=2000,Tb_prod[[#This Row],[Riesgo_Ambiental]]="Alto"),"Crítica","Normal")</f>
        <v>Normal</v>
      </c>
    </row>
    <row r="277" spans="1:24">
      <c r="A277">
        <v>390</v>
      </c>
      <c r="B277" t="str">
        <f>VLOOKUP(Tb_prod[[#This Row],[Región]],AUX_REGION[],2,0)</f>
        <v>Minera Romero</v>
      </c>
      <c r="C277" t="s">
        <v>25</v>
      </c>
      <c r="D277" t="s">
        <v>23</v>
      </c>
      <c r="E277" t="s">
        <v>19</v>
      </c>
      <c r="F277" t="s">
        <v>24</v>
      </c>
      <c r="G277" t="s">
        <v>22</v>
      </c>
      <c r="H277" s="23">
        <v>4651.3999999999996</v>
      </c>
      <c r="I277" s="23">
        <v>1836.85</v>
      </c>
      <c r="J277" s="23">
        <v>50772.47</v>
      </c>
      <c r="K277" s="23">
        <v>1159.5999999999999</v>
      </c>
      <c r="L277" s="10">
        <v>42912800000</v>
      </c>
      <c r="M277" s="9">
        <v>140097536370</v>
      </c>
      <c r="N277" s="12">
        <f xml:space="preserve"> Tb_prod[[#This Row],[Costo_Mantenimiento_CLP]] / Tb_prod[[#This Row],[Dias_Operación_Mes]]</f>
        <v>2145640000</v>
      </c>
      <c r="O277" s="11">
        <f>Tb_prod[[#This Row],[Costo_Operativo_CLP]] / Tb_prod[[#This Row],[Producción_Toneladas]]</f>
        <v>30119434.228404354</v>
      </c>
      <c r="P277">
        <v>243</v>
      </c>
      <c r="Q277">
        <v>20</v>
      </c>
      <c r="R277" s="6">
        <v>45948</v>
      </c>
      <c r="S277" t="str">
        <f t="shared" si="8"/>
        <v>sábado</v>
      </c>
      <c r="T277" t="str">
        <f t="shared" si="9"/>
        <v>octubre</v>
      </c>
      <c r="U277">
        <v>84.47</v>
      </c>
      <c r="V277">
        <f xml:space="preserve"> Tb_prod[[#This Row],[Emisiones_CO2_ton]] / Tb_prod[[#This Row],[Cantidad_Empleados]]</f>
        <v>4.7720164609053493</v>
      </c>
      <c r="W277" t="str">
        <f>IF(Tb_prod[[#This Row],[Recuperación_Metal_Porcentaje]]&gt;90,"Alta",IF(Tb_prod[[#This Row],[Recuperación_Metal_Porcentaje]]&gt;75,"Media","Baja"))</f>
        <v>Media</v>
      </c>
      <c r="X277" t="str">
        <f>IF(AND(Tb_prod[[#This Row],[Consumo_Energia_MWh]]&lt;=2000,Tb_prod[[#This Row],[Riesgo_Ambiental]]="Alto"),"Crítica","Normal")</f>
        <v>Normal</v>
      </c>
    </row>
    <row r="278" spans="1:24">
      <c r="A278">
        <v>131</v>
      </c>
      <c r="B278" t="str">
        <f>VLOOKUP(Tb_prod[[#This Row],[Región]],AUX_REGION[],2,0)</f>
        <v>Minera Romero</v>
      </c>
      <c r="C278" t="s">
        <v>21</v>
      </c>
      <c r="D278" t="s">
        <v>23</v>
      </c>
      <c r="E278" t="s">
        <v>14</v>
      </c>
      <c r="F278" t="s">
        <v>24</v>
      </c>
      <c r="G278" t="s">
        <v>20</v>
      </c>
      <c r="H278" s="23">
        <v>3607.6</v>
      </c>
      <c r="I278" s="23">
        <v>1430.77</v>
      </c>
      <c r="J278" s="23">
        <v>50775.45</v>
      </c>
      <c r="K278" s="23">
        <v>644.23</v>
      </c>
      <c r="L278" s="10">
        <v>40375312560</v>
      </c>
      <c r="M278" s="9">
        <v>129387050460</v>
      </c>
      <c r="N278" s="12">
        <f xml:space="preserve"> Tb_prod[[#This Row],[Costo_Mantenimiento_CLP]] / Tb_prod[[#This Row],[Dias_Operación_Mes]]</f>
        <v>1392252157.2413793</v>
      </c>
      <c r="O278" s="11">
        <f>Tb_prod[[#This Row],[Costo_Operativo_CLP]] / Tb_prod[[#This Row],[Producción_Toneladas]]</f>
        <v>35865132.071183056</v>
      </c>
      <c r="P278">
        <v>64</v>
      </c>
      <c r="Q278">
        <v>29</v>
      </c>
      <c r="R278" s="6">
        <v>45882</v>
      </c>
      <c r="S278" t="str">
        <f t="shared" si="8"/>
        <v>miércoles</v>
      </c>
      <c r="T278" t="str">
        <f t="shared" si="9"/>
        <v>agosto</v>
      </c>
      <c r="U278">
        <v>97.9</v>
      </c>
      <c r="V278">
        <f xml:space="preserve"> Tb_prod[[#This Row],[Emisiones_CO2_ton]] / Tb_prod[[#This Row],[Cantidad_Empleados]]</f>
        <v>10.06609375</v>
      </c>
      <c r="W278" t="str">
        <f>IF(Tb_prod[[#This Row],[Recuperación_Metal_Porcentaje]]&gt;90,"Alta",IF(Tb_prod[[#This Row],[Recuperación_Metal_Porcentaje]]&gt;75,"Media","Baja"))</f>
        <v>Alta</v>
      </c>
      <c r="X278" t="str">
        <f>IF(AND(Tb_prod[[#This Row],[Consumo_Energia_MWh]]&lt;=2000,Tb_prod[[#This Row],[Riesgo_Ambiental]]="Alto"),"Crítica","Normal")</f>
        <v>Crítica</v>
      </c>
    </row>
    <row r="279" spans="1:24">
      <c r="A279">
        <v>137</v>
      </c>
      <c r="B279" t="str">
        <f>VLOOKUP(Tb_prod[[#This Row],[Región]],AUX_REGION[],2,0)</f>
        <v>Minera Staff</v>
      </c>
      <c r="C279" t="s">
        <v>12</v>
      </c>
      <c r="D279" t="s">
        <v>13</v>
      </c>
      <c r="E279" t="s">
        <v>19</v>
      </c>
      <c r="F279" t="s">
        <v>26</v>
      </c>
      <c r="G279" t="s">
        <v>22</v>
      </c>
      <c r="H279" s="23">
        <v>3783.84</v>
      </c>
      <c r="I279" s="23">
        <v>1637.4</v>
      </c>
      <c r="J279" s="23">
        <v>50798.22</v>
      </c>
      <c r="K279" s="23">
        <v>1613.75</v>
      </c>
      <c r="L279" s="10">
        <v>19719234990</v>
      </c>
      <c r="M279" s="9">
        <v>53319434220</v>
      </c>
      <c r="N279" s="12">
        <f xml:space="preserve"> Tb_prod[[#This Row],[Costo_Mantenimiento_CLP]] / Tb_prod[[#This Row],[Dias_Operación_Mes]]</f>
        <v>939011190</v>
      </c>
      <c r="O279" s="11">
        <f>Tb_prod[[#This Row],[Costo_Operativo_CLP]] / Tb_prod[[#This Row],[Producción_Toneladas]]</f>
        <v>14091355.400862616</v>
      </c>
      <c r="P279">
        <v>130</v>
      </c>
      <c r="Q279">
        <v>21</v>
      </c>
      <c r="R279" s="6">
        <v>45554</v>
      </c>
      <c r="S279" t="str">
        <f t="shared" si="8"/>
        <v>jueves</v>
      </c>
      <c r="T279" t="str">
        <f t="shared" si="9"/>
        <v>septiembre</v>
      </c>
      <c r="U279">
        <v>81.97</v>
      </c>
      <c r="V279">
        <f xml:space="preserve"> Tb_prod[[#This Row],[Emisiones_CO2_ton]] / Tb_prod[[#This Row],[Cantidad_Empleados]]</f>
        <v>12.413461538461538</v>
      </c>
      <c r="W279" t="str">
        <f>IF(Tb_prod[[#This Row],[Recuperación_Metal_Porcentaje]]&gt;90,"Alta",IF(Tb_prod[[#This Row],[Recuperación_Metal_Porcentaje]]&gt;75,"Media","Baja"))</f>
        <v>Media</v>
      </c>
      <c r="X279" t="str">
        <f>IF(AND(Tb_prod[[#This Row],[Consumo_Energia_MWh]]&lt;=2000,Tb_prod[[#This Row],[Riesgo_Ambiental]]="Alto"),"Crítica","Normal")</f>
        <v>Normal</v>
      </c>
    </row>
    <row r="280" spans="1:24">
      <c r="A280">
        <v>218</v>
      </c>
      <c r="B280" t="str">
        <f>VLOOKUP(Tb_prod[[#This Row],[Región]],AUX_REGION[],2,0)</f>
        <v>Minera Staff</v>
      </c>
      <c r="C280" t="s">
        <v>12</v>
      </c>
      <c r="D280" t="s">
        <v>13</v>
      </c>
      <c r="E280" t="s">
        <v>19</v>
      </c>
      <c r="F280" t="s">
        <v>15</v>
      </c>
      <c r="G280" t="s">
        <v>16</v>
      </c>
      <c r="H280" s="23">
        <v>4425.2299999999996</v>
      </c>
      <c r="I280" s="23">
        <v>2350.33</v>
      </c>
      <c r="J280" s="23">
        <v>50920.81</v>
      </c>
      <c r="K280" s="23">
        <v>952.41</v>
      </c>
      <c r="L280" s="10">
        <v>14877046710</v>
      </c>
      <c r="M280" s="9">
        <v>133404262380</v>
      </c>
      <c r="N280" s="12">
        <f xml:space="preserve"> Tb_prod[[#This Row],[Costo_Mantenimiento_CLP]] / Tb_prod[[#This Row],[Dias_Operación_Mes]]</f>
        <v>531323096.78571427</v>
      </c>
      <c r="O280" s="11">
        <f>Tb_prod[[#This Row],[Costo_Operativo_CLP]] / Tb_prod[[#This Row],[Producción_Toneladas]]</f>
        <v>30146288.979329892</v>
      </c>
      <c r="P280">
        <v>236</v>
      </c>
      <c r="Q280">
        <v>28</v>
      </c>
      <c r="R280" s="6">
        <v>45983</v>
      </c>
      <c r="S280" t="str">
        <f t="shared" si="8"/>
        <v>sábado</v>
      </c>
      <c r="T280" t="str">
        <f t="shared" si="9"/>
        <v>noviembre</v>
      </c>
      <c r="U280">
        <v>70.91</v>
      </c>
      <c r="V280">
        <f xml:space="preserve"> Tb_prod[[#This Row],[Emisiones_CO2_ton]] / Tb_prod[[#This Row],[Cantidad_Empleados]]</f>
        <v>4.0356355932203387</v>
      </c>
      <c r="W280" t="str">
        <f>IF(Tb_prod[[#This Row],[Recuperación_Metal_Porcentaje]]&gt;90,"Alta",IF(Tb_prod[[#This Row],[Recuperación_Metal_Porcentaje]]&gt;75,"Media","Baja"))</f>
        <v>Baja</v>
      </c>
      <c r="X280" t="str">
        <f>IF(AND(Tb_prod[[#This Row],[Consumo_Energia_MWh]]&lt;=2000,Tb_prod[[#This Row],[Riesgo_Ambiental]]="Alto"),"Crítica","Normal")</f>
        <v>Normal</v>
      </c>
    </row>
    <row r="281" spans="1:24">
      <c r="A281">
        <v>215</v>
      </c>
      <c r="B281" t="str">
        <f>VLOOKUP(Tb_prod[[#This Row],[Región]],AUX_REGION[],2,0)</f>
        <v>Minera Romero</v>
      </c>
      <c r="C281" t="s">
        <v>21</v>
      </c>
      <c r="D281" t="s">
        <v>23</v>
      </c>
      <c r="E281" t="s">
        <v>19</v>
      </c>
      <c r="F281" t="s">
        <v>24</v>
      </c>
      <c r="G281" t="s">
        <v>16</v>
      </c>
      <c r="H281" s="23">
        <v>5244.14</v>
      </c>
      <c r="I281" s="23">
        <v>1223.8800000000001</v>
      </c>
      <c r="J281" s="23">
        <v>50945.52</v>
      </c>
      <c r="K281" s="23">
        <v>795.71</v>
      </c>
      <c r="L281" s="10">
        <v>36804525030</v>
      </c>
      <c r="M281" s="9">
        <v>614221096980</v>
      </c>
      <c r="N281" s="12">
        <f xml:space="preserve"> Tb_prod[[#This Row],[Costo_Mantenimiento_CLP]] / Tb_prod[[#This Row],[Dias_Operación_Mes]]</f>
        <v>1226817501</v>
      </c>
      <c r="O281" s="11">
        <f>Tb_prod[[#This Row],[Costo_Operativo_CLP]] / Tb_prod[[#This Row],[Producción_Toneladas]]</f>
        <v>117125228.7276846</v>
      </c>
      <c r="P281">
        <v>148</v>
      </c>
      <c r="Q281">
        <v>30</v>
      </c>
      <c r="R281" s="6">
        <v>45855</v>
      </c>
      <c r="S281" t="str">
        <f t="shared" si="8"/>
        <v>jueves</v>
      </c>
      <c r="T281" t="str">
        <f t="shared" si="9"/>
        <v>julio</v>
      </c>
      <c r="U281">
        <v>92.11</v>
      </c>
      <c r="V281">
        <f xml:space="preserve"> Tb_prod[[#This Row],[Emisiones_CO2_ton]] / Tb_prod[[#This Row],[Cantidad_Empleados]]</f>
        <v>5.3764189189189189</v>
      </c>
      <c r="W281" t="str">
        <f>IF(Tb_prod[[#This Row],[Recuperación_Metal_Porcentaje]]&gt;90,"Alta",IF(Tb_prod[[#This Row],[Recuperación_Metal_Porcentaje]]&gt;75,"Media","Baja"))</f>
        <v>Alta</v>
      </c>
      <c r="X281" t="str">
        <f>IF(AND(Tb_prod[[#This Row],[Consumo_Energia_MWh]]&lt;=2000,Tb_prod[[#This Row],[Riesgo_Ambiental]]="Alto"),"Crítica","Normal")</f>
        <v>Normal</v>
      </c>
    </row>
    <row r="282" spans="1:24">
      <c r="A282">
        <v>1</v>
      </c>
      <c r="B282" t="str">
        <f>VLOOKUP(Tb_prod[[#This Row],[Región]],AUX_REGION[],2,0)</f>
        <v>Minera Staff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s="23">
        <v>2367.8200000000002</v>
      </c>
      <c r="I282" s="23">
        <v>2786.73</v>
      </c>
      <c r="J282" s="23">
        <v>50998.28</v>
      </c>
      <c r="K282" s="23">
        <v>1500.77</v>
      </c>
      <c r="L282" s="10">
        <v>5806031850</v>
      </c>
      <c r="M282" s="9">
        <v>86509147590</v>
      </c>
      <c r="N282" s="12">
        <f xml:space="preserve"> Tb_prod[[#This Row],[Costo_Mantenimiento_CLP]] / Tb_prod[[#This Row],[Dias_Operación_Mes]]</f>
        <v>241917993.75</v>
      </c>
      <c r="O282" s="11">
        <f>Tb_prod[[#This Row],[Costo_Operativo_CLP]] / Tb_prod[[#This Row],[Producción_Toneladas]]</f>
        <v>36535356.399557397</v>
      </c>
      <c r="P282">
        <v>258</v>
      </c>
      <c r="Q282">
        <v>24</v>
      </c>
      <c r="R282" s="6">
        <v>45793</v>
      </c>
      <c r="S282" t="str">
        <f t="shared" si="8"/>
        <v>viernes</v>
      </c>
      <c r="T282" t="str">
        <f t="shared" si="9"/>
        <v>mayo</v>
      </c>
      <c r="U282">
        <v>76.87</v>
      </c>
      <c r="V282">
        <f xml:space="preserve"> Tb_prod[[#This Row],[Emisiones_CO2_ton]] / Tb_prod[[#This Row],[Cantidad_Empleados]]</f>
        <v>5.816937984496124</v>
      </c>
      <c r="W282" t="str">
        <f>IF(Tb_prod[[#This Row],[Recuperación_Metal_Porcentaje]]&gt;90,"Alta",IF(Tb_prod[[#This Row],[Recuperación_Metal_Porcentaje]]&gt;75,"Media","Baja"))</f>
        <v>Media</v>
      </c>
      <c r="X282" t="str">
        <f>IF(AND(Tb_prod[[#This Row],[Consumo_Energia_MWh]]&lt;=2000,Tb_prod[[#This Row],[Riesgo_Ambiental]]="Alto"),"Crítica","Normal")</f>
        <v>Normal</v>
      </c>
    </row>
    <row r="283" spans="1:24">
      <c r="A283">
        <v>134</v>
      </c>
      <c r="B283" t="str">
        <f>VLOOKUP(Tb_prod[[#This Row],[Región]],AUX_REGION[],2,0)</f>
        <v>Minera Staff</v>
      </c>
      <c r="C283" t="s">
        <v>17</v>
      </c>
      <c r="D283" t="s">
        <v>13</v>
      </c>
      <c r="E283" t="s">
        <v>19</v>
      </c>
      <c r="F283" t="s">
        <v>24</v>
      </c>
      <c r="G283" t="s">
        <v>16</v>
      </c>
      <c r="H283" s="23">
        <v>4857.87</v>
      </c>
      <c r="I283" s="23">
        <v>1845.83</v>
      </c>
      <c r="J283" s="23">
        <v>51078.27</v>
      </c>
      <c r="K283" s="23">
        <v>811.64</v>
      </c>
      <c r="L283" s="10">
        <v>26626331250</v>
      </c>
      <c r="M283" s="9">
        <v>136612598760</v>
      </c>
      <c r="N283" s="12">
        <f xml:space="preserve"> Tb_prod[[#This Row],[Costo_Mantenimiento_CLP]] / Tb_prod[[#This Row],[Dias_Operación_Mes]]</f>
        <v>1331316562.5</v>
      </c>
      <c r="O283" s="11">
        <f>Tb_prod[[#This Row],[Costo_Operativo_CLP]] / Tb_prod[[#This Row],[Producción_Toneladas]]</f>
        <v>28121913.258279864</v>
      </c>
      <c r="P283">
        <v>296</v>
      </c>
      <c r="Q283">
        <v>20</v>
      </c>
      <c r="R283" s="6">
        <v>45582</v>
      </c>
      <c r="S283" t="str">
        <f t="shared" si="8"/>
        <v>jueves</v>
      </c>
      <c r="T283" t="str">
        <f t="shared" si="9"/>
        <v>octubre</v>
      </c>
      <c r="U283">
        <v>83.91</v>
      </c>
      <c r="V283">
        <f xml:space="preserve"> Tb_prod[[#This Row],[Emisiones_CO2_ton]] / Tb_prod[[#This Row],[Cantidad_Empleados]]</f>
        <v>2.7420270270270271</v>
      </c>
      <c r="W283" t="str">
        <f>IF(Tb_prod[[#This Row],[Recuperación_Metal_Porcentaje]]&gt;90,"Alta",IF(Tb_prod[[#This Row],[Recuperación_Metal_Porcentaje]]&gt;75,"Media","Baja"))</f>
        <v>Media</v>
      </c>
      <c r="X283" t="str">
        <f>IF(AND(Tb_prod[[#This Row],[Consumo_Energia_MWh]]&lt;=2000,Tb_prod[[#This Row],[Riesgo_Ambiental]]="Alto"),"Crítica","Normal")</f>
        <v>Normal</v>
      </c>
    </row>
    <row r="284" spans="1:24">
      <c r="A284">
        <v>8</v>
      </c>
      <c r="B284" t="str">
        <f>VLOOKUP(Tb_prod[[#This Row],[Región]],AUX_REGION[],2,0)</f>
        <v>Minera del Norte</v>
      </c>
      <c r="C284" t="s">
        <v>21</v>
      </c>
      <c r="D284" t="s">
        <v>18</v>
      </c>
      <c r="E284" t="s">
        <v>19</v>
      </c>
      <c r="F284" t="s">
        <v>24</v>
      </c>
      <c r="G284" t="s">
        <v>16</v>
      </c>
      <c r="H284" s="23">
        <v>8447.7000000000007</v>
      </c>
      <c r="I284" s="23">
        <v>2230.17</v>
      </c>
      <c r="J284" s="23">
        <v>51235.45</v>
      </c>
      <c r="K284" s="23">
        <v>823.59</v>
      </c>
      <c r="L284" s="10">
        <v>23487445710</v>
      </c>
      <c r="M284" s="9">
        <v>34099291890</v>
      </c>
      <c r="N284" s="12">
        <f xml:space="preserve"> Tb_prod[[#This Row],[Costo_Mantenimiento_CLP]] / Tb_prod[[#This Row],[Dias_Operación_Mes]]</f>
        <v>838837346.78571427</v>
      </c>
      <c r="O284" s="11">
        <f>Tb_prod[[#This Row],[Costo_Operativo_CLP]] / Tb_prod[[#This Row],[Producción_Toneladas]]</f>
        <v>4036517.8557477179</v>
      </c>
      <c r="P284">
        <v>144</v>
      </c>
      <c r="Q284">
        <v>28</v>
      </c>
      <c r="R284" s="6">
        <v>45057</v>
      </c>
      <c r="S284" t="str">
        <f t="shared" si="8"/>
        <v>jueves</v>
      </c>
      <c r="T284" t="str">
        <f t="shared" si="9"/>
        <v>mayo</v>
      </c>
      <c r="U284">
        <v>91.3</v>
      </c>
      <c r="V284">
        <f xml:space="preserve"> Tb_prod[[#This Row],[Emisiones_CO2_ton]] / Tb_prod[[#This Row],[Cantidad_Empleados]]</f>
        <v>5.7193750000000003</v>
      </c>
      <c r="W284" t="str">
        <f>IF(Tb_prod[[#This Row],[Recuperación_Metal_Porcentaje]]&gt;90,"Alta",IF(Tb_prod[[#This Row],[Recuperación_Metal_Porcentaje]]&gt;75,"Media","Baja"))</f>
        <v>Alta</v>
      </c>
      <c r="X284" t="str">
        <f>IF(AND(Tb_prod[[#This Row],[Consumo_Energia_MWh]]&lt;=2000,Tb_prod[[#This Row],[Riesgo_Ambiental]]="Alto"),"Crítica","Normal")</f>
        <v>Normal</v>
      </c>
    </row>
    <row r="285" spans="1:24">
      <c r="A285">
        <v>79</v>
      </c>
      <c r="B285" t="str">
        <f>VLOOKUP(Tb_prod[[#This Row],[Región]],AUX_REGION[],2,0)</f>
        <v>Minera Staff</v>
      </c>
      <c r="C285" t="s">
        <v>12</v>
      </c>
      <c r="D285" t="s">
        <v>13</v>
      </c>
      <c r="E285" t="s">
        <v>14</v>
      </c>
      <c r="F285" t="s">
        <v>24</v>
      </c>
      <c r="G285" t="s">
        <v>16</v>
      </c>
      <c r="H285" s="23">
        <v>5690.11</v>
      </c>
      <c r="I285" s="23">
        <v>1538.14</v>
      </c>
      <c r="J285" s="23">
        <v>51431.56</v>
      </c>
      <c r="K285" s="23">
        <v>1316.24</v>
      </c>
      <c r="L285" s="10">
        <v>889594848200</v>
      </c>
      <c r="M285" s="9">
        <v>46840485240</v>
      </c>
      <c r="N285" s="12">
        <f xml:space="preserve"> Tb_prod[[#This Row],[Costo_Mantenimiento_CLP]] / Tb_prod[[#This Row],[Dias_Operación_Mes]]</f>
        <v>44479742410</v>
      </c>
      <c r="O285" s="11">
        <f>Tb_prod[[#This Row],[Costo_Operativo_CLP]] / Tb_prod[[#This Row],[Producción_Toneladas]]</f>
        <v>8231912.0790283494</v>
      </c>
      <c r="P285">
        <v>176</v>
      </c>
      <c r="Q285">
        <v>20</v>
      </c>
      <c r="R285" s="6">
        <v>45519</v>
      </c>
      <c r="S285" t="str">
        <f t="shared" si="8"/>
        <v>jueves</v>
      </c>
      <c r="T285" t="str">
        <f t="shared" si="9"/>
        <v>agosto</v>
      </c>
      <c r="U285">
        <v>80.2</v>
      </c>
      <c r="V285">
        <f xml:space="preserve"> Tb_prod[[#This Row],[Emisiones_CO2_ton]] / Tb_prod[[#This Row],[Cantidad_Empleados]]</f>
        <v>7.4786363636363635</v>
      </c>
      <c r="W285" t="str">
        <f>IF(Tb_prod[[#This Row],[Recuperación_Metal_Porcentaje]]&gt;90,"Alta",IF(Tb_prod[[#This Row],[Recuperación_Metal_Porcentaje]]&gt;75,"Media","Baja"))</f>
        <v>Media</v>
      </c>
      <c r="X285" t="str">
        <f>IF(AND(Tb_prod[[#This Row],[Consumo_Energia_MWh]]&lt;=2000,Tb_prod[[#This Row],[Riesgo_Ambiental]]="Alto"),"Crítica","Normal")</f>
        <v>Normal</v>
      </c>
    </row>
    <row r="286" spans="1:24">
      <c r="A286">
        <v>326</v>
      </c>
      <c r="B286" t="str">
        <f>VLOOKUP(Tb_prod[[#This Row],[Región]],AUX_REGION[],2,0)</f>
        <v>Minera Staff</v>
      </c>
      <c r="C286" t="s">
        <v>27</v>
      </c>
      <c r="D286" t="s">
        <v>13</v>
      </c>
      <c r="E286" t="s">
        <v>14</v>
      </c>
      <c r="F286" t="s">
        <v>24</v>
      </c>
      <c r="G286" t="s">
        <v>20</v>
      </c>
      <c r="H286" s="23">
        <v>7686.72</v>
      </c>
      <c r="I286" s="23">
        <v>1921.16</v>
      </c>
      <c r="J286" s="23">
        <v>51433.72</v>
      </c>
      <c r="K286" s="23">
        <v>823.53</v>
      </c>
      <c r="L286" s="10">
        <v>39195983160</v>
      </c>
      <c r="M286" s="9">
        <v>173372155650</v>
      </c>
      <c r="N286" s="12">
        <f xml:space="preserve"> Tb_prod[[#This Row],[Costo_Mantenimiento_CLP]] / Tb_prod[[#This Row],[Dias_Operación_Mes]]</f>
        <v>1306532772</v>
      </c>
      <c r="O286" s="11">
        <f>Tb_prod[[#This Row],[Costo_Operativo_CLP]] / Tb_prod[[#This Row],[Producción_Toneladas]]</f>
        <v>22554764.015080553</v>
      </c>
      <c r="P286">
        <v>81</v>
      </c>
      <c r="Q286">
        <v>30</v>
      </c>
      <c r="R286" s="6">
        <v>45952</v>
      </c>
      <c r="S286" t="str">
        <f t="shared" si="8"/>
        <v>miércoles</v>
      </c>
      <c r="T286" t="str">
        <f t="shared" si="9"/>
        <v>octubre</v>
      </c>
      <c r="U286">
        <v>71.099999999999994</v>
      </c>
      <c r="V286">
        <f xml:space="preserve"> Tb_prod[[#This Row],[Emisiones_CO2_ton]] / Tb_prod[[#This Row],[Cantidad_Empleados]]</f>
        <v>10.167037037037037</v>
      </c>
      <c r="W286" t="str">
        <f>IF(Tb_prod[[#This Row],[Recuperación_Metal_Porcentaje]]&gt;90,"Alta",IF(Tb_prod[[#This Row],[Recuperación_Metal_Porcentaje]]&gt;75,"Media","Baja"))</f>
        <v>Baja</v>
      </c>
      <c r="X286" t="str">
        <f>IF(AND(Tb_prod[[#This Row],[Consumo_Energia_MWh]]&lt;=2000,Tb_prod[[#This Row],[Riesgo_Ambiental]]="Alto"),"Crítica","Normal")</f>
        <v>Crítica</v>
      </c>
    </row>
    <row r="287" spans="1:24">
      <c r="A287">
        <v>271</v>
      </c>
      <c r="B287" t="str">
        <f>VLOOKUP(Tb_prod[[#This Row],[Región]],AUX_REGION[],2,0)</f>
        <v>Minera del Norte</v>
      </c>
      <c r="C287" t="s">
        <v>21</v>
      </c>
      <c r="D287" t="s">
        <v>18</v>
      </c>
      <c r="E287" t="s">
        <v>19</v>
      </c>
      <c r="F287" t="s">
        <v>26</v>
      </c>
      <c r="G287" t="s">
        <v>16</v>
      </c>
      <c r="H287" s="23">
        <v>9657.2999999999993</v>
      </c>
      <c r="I287" s="23">
        <v>1203.3699999999999</v>
      </c>
      <c r="J287" s="23">
        <v>51566.19</v>
      </c>
      <c r="K287" s="23">
        <v>847.48</v>
      </c>
      <c r="L287" s="10">
        <v>874960726155.90002</v>
      </c>
      <c r="M287" s="9">
        <v>14316548310</v>
      </c>
      <c r="N287" s="12">
        <f xml:space="preserve"> Tb_prod[[#This Row],[Costo_Mantenimiento_CLP]] / Tb_prod[[#This Row],[Dias_Operación_Mes]]</f>
        <v>31248597362.710716</v>
      </c>
      <c r="O287" s="11">
        <f>Tb_prod[[#This Row],[Costo_Operativo_CLP]] / Tb_prod[[#This Row],[Producción_Toneladas]]</f>
        <v>1482458.6903171695</v>
      </c>
      <c r="P287">
        <v>278</v>
      </c>
      <c r="Q287">
        <v>28</v>
      </c>
      <c r="R287" s="6">
        <v>45989</v>
      </c>
      <c r="S287" t="str">
        <f t="shared" si="8"/>
        <v>viernes</v>
      </c>
      <c r="T287" t="str">
        <f t="shared" si="9"/>
        <v>noviembre</v>
      </c>
      <c r="U287">
        <v>91.06</v>
      </c>
      <c r="V287">
        <f xml:space="preserve"> Tb_prod[[#This Row],[Emisiones_CO2_ton]] / Tb_prod[[#This Row],[Cantidad_Empleados]]</f>
        <v>3.0484892086330935</v>
      </c>
      <c r="W287" t="str">
        <f>IF(Tb_prod[[#This Row],[Recuperación_Metal_Porcentaje]]&gt;90,"Alta",IF(Tb_prod[[#This Row],[Recuperación_Metal_Porcentaje]]&gt;75,"Media","Baja"))</f>
        <v>Alta</v>
      </c>
      <c r="X287" t="str">
        <f>IF(AND(Tb_prod[[#This Row],[Consumo_Energia_MWh]]&lt;=2000,Tb_prod[[#This Row],[Riesgo_Ambiental]]="Alto"),"Crítica","Normal")</f>
        <v>Normal</v>
      </c>
    </row>
    <row r="288" spans="1:24">
      <c r="A288">
        <v>424</v>
      </c>
      <c r="B288" t="str">
        <f>VLOOKUP(Tb_prod[[#This Row],[Región]],AUX_REGION[],2,0)</f>
        <v>Minera Romero</v>
      </c>
      <c r="C288" t="s">
        <v>25</v>
      </c>
      <c r="D288" t="s">
        <v>23</v>
      </c>
      <c r="E288" t="s">
        <v>14</v>
      </c>
      <c r="F288" t="s">
        <v>24</v>
      </c>
      <c r="G288" t="s">
        <v>22</v>
      </c>
      <c r="H288" s="23">
        <v>4900.41</v>
      </c>
      <c r="I288" s="23">
        <v>2252.88</v>
      </c>
      <c r="J288" s="23">
        <v>51601.78</v>
      </c>
      <c r="K288" s="23">
        <v>1312.56</v>
      </c>
      <c r="L288" s="10">
        <v>30935492730</v>
      </c>
      <c r="M288" s="9">
        <v>56315361600</v>
      </c>
      <c r="N288" s="12">
        <f xml:space="preserve"> Tb_prod[[#This Row],[Costo_Mantenimiento_CLP]] / Tb_prod[[#This Row],[Dias_Operación_Mes]]</f>
        <v>1237419709.2</v>
      </c>
      <c r="O288" s="11">
        <f>Tb_prod[[#This Row],[Costo_Operativo_CLP]] / Tb_prod[[#This Row],[Producción_Toneladas]]</f>
        <v>11491969.365828574</v>
      </c>
      <c r="P288">
        <v>89</v>
      </c>
      <c r="Q288">
        <v>25</v>
      </c>
      <c r="R288" s="6">
        <v>45381</v>
      </c>
      <c r="S288" t="str">
        <f t="shared" si="8"/>
        <v>sábado</v>
      </c>
      <c r="T288" t="str">
        <f t="shared" si="9"/>
        <v>marzo</v>
      </c>
      <c r="U288">
        <v>77.77</v>
      </c>
      <c r="V288">
        <f xml:space="preserve"> Tb_prod[[#This Row],[Emisiones_CO2_ton]] / Tb_prod[[#This Row],[Cantidad_Empleados]]</f>
        <v>14.747865168539326</v>
      </c>
      <c r="W288" t="str">
        <f>IF(Tb_prod[[#This Row],[Recuperación_Metal_Porcentaje]]&gt;90,"Alta",IF(Tb_prod[[#This Row],[Recuperación_Metal_Porcentaje]]&gt;75,"Media","Baja"))</f>
        <v>Media</v>
      </c>
      <c r="X288" t="str">
        <f>IF(AND(Tb_prod[[#This Row],[Consumo_Energia_MWh]]&lt;=2000,Tb_prod[[#This Row],[Riesgo_Ambiental]]="Alto"),"Crítica","Normal")</f>
        <v>Normal</v>
      </c>
    </row>
    <row r="289" spans="1:24">
      <c r="A289">
        <v>15</v>
      </c>
      <c r="B289" t="str">
        <f>VLOOKUP(Tb_prod[[#This Row],[Región]],AUX_REGION[],2,0)</f>
        <v>Minera Romero</v>
      </c>
      <c r="C289" t="s">
        <v>12</v>
      </c>
      <c r="D289" t="s">
        <v>23</v>
      </c>
      <c r="E289" t="s">
        <v>14</v>
      </c>
      <c r="F289" t="s">
        <v>15</v>
      </c>
      <c r="G289" t="s">
        <v>16</v>
      </c>
      <c r="H289" s="23">
        <v>6478.58</v>
      </c>
      <c r="I289" s="23">
        <v>1858.05</v>
      </c>
      <c r="J289" s="23">
        <v>51620.86</v>
      </c>
      <c r="K289" s="23">
        <v>1444.81</v>
      </c>
      <c r="L289" s="10">
        <v>1407674149138.8899</v>
      </c>
      <c r="M289" s="9">
        <v>168135727140</v>
      </c>
      <c r="N289" s="12">
        <f xml:space="preserve"> Tb_prod[[#This Row],[Costo_Mantenimiento_CLP]] / Tb_prod[[#This Row],[Dias_Operación_Mes]]</f>
        <v>70383707456.944489</v>
      </c>
      <c r="O289" s="11">
        <f>Tb_prod[[#This Row],[Costo_Operativo_CLP]] / Tb_prod[[#This Row],[Producción_Toneladas]]</f>
        <v>25952558.606978688</v>
      </c>
      <c r="P289">
        <v>102</v>
      </c>
      <c r="Q289">
        <v>20</v>
      </c>
      <c r="R289" s="6">
        <v>45386</v>
      </c>
      <c r="S289" t="str">
        <f t="shared" si="8"/>
        <v>jueves</v>
      </c>
      <c r="T289" t="str">
        <f t="shared" si="9"/>
        <v>abril</v>
      </c>
      <c r="U289">
        <v>81.58</v>
      </c>
      <c r="V289">
        <f xml:space="preserve"> Tb_prod[[#This Row],[Emisiones_CO2_ton]] / Tb_prod[[#This Row],[Cantidad_Empleados]]</f>
        <v>14.164803921568627</v>
      </c>
      <c r="W289" t="str">
        <f>IF(Tb_prod[[#This Row],[Recuperación_Metal_Porcentaje]]&gt;90,"Alta",IF(Tb_prod[[#This Row],[Recuperación_Metal_Porcentaje]]&gt;75,"Media","Baja"))</f>
        <v>Media</v>
      </c>
      <c r="X289" t="str">
        <f>IF(AND(Tb_prod[[#This Row],[Consumo_Energia_MWh]]&lt;=2000,Tb_prod[[#This Row],[Riesgo_Ambiental]]="Alto"),"Crítica","Normal")</f>
        <v>Normal</v>
      </c>
    </row>
    <row r="290" spans="1:24">
      <c r="A290">
        <v>481</v>
      </c>
      <c r="B290" t="str">
        <f>VLOOKUP(Tb_prod[[#This Row],[Región]],AUX_REGION[],2,0)</f>
        <v>Minera del Norte</v>
      </c>
      <c r="C290" t="s">
        <v>27</v>
      </c>
      <c r="D290" t="s">
        <v>18</v>
      </c>
      <c r="E290" t="s">
        <v>14</v>
      </c>
      <c r="F290" t="s">
        <v>24</v>
      </c>
      <c r="G290" t="s">
        <v>16</v>
      </c>
      <c r="H290" s="23">
        <v>2469.13</v>
      </c>
      <c r="I290" s="23">
        <v>2743.18</v>
      </c>
      <c r="J290" s="23">
        <v>51622.96</v>
      </c>
      <c r="K290" s="23">
        <v>1072.97</v>
      </c>
      <c r="L290" s="10">
        <v>6520086180</v>
      </c>
      <c r="M290" s="9">
        <v>101057801130</v>
      </c>
      <c r="N290" s="12">
        <f xml:space="preserve"> Tb_prod[[#This Row],[Costo_Mantenimiento_CLP]] / Tb_prod[[#This Row],[Dias_Operación_Mes]]</f>
        <v>310480294.28571427</v>
      </c>
      <c r="O290" s="11">
        <f>Tb_prod[[#This Row],[Costo_Operativo_CLP]] / Tb_prod[[#This Row],[Producción_Toneladas]]</f>
        <v>40928505.639638253</v>
      </c>
      <c r="P290">
        <v>189</v>
      </c>
      <c r="Q290">
        <v>21</v>
      </c>
      <c r="R290" s="6">
        <v>44962</v>
      </c>
      <c r="S290" t="str">
        <f t="shared" si="8"/>
        <v>domingo</v>
      </c>
      <c r="T290" t="str">
        <f t="shared" si="9"/>
        <v>febrero</v>
      </c>
      <c r="U290">
        <v>83.13</v>
      </c>
      <c r="V290">
        <f xml:space="preserve"> Tb_prod[[#This Row],[Emisiones_CO2_ton]] / Tb_prod[[#This Row],[Cantidad_Empleados]]</f>
        <v>5.6770899470899474</v>
      </c>
      <c r="W290" t="str">
        <f>IF(Tb_prod[[#This Row],[Recuperación_Metal_Porcentaje]]&gt;90,"Alta",IF(Tb_prod[[#This Row],[Recuperación_Metal_Porcentaje]]&gt;75,"Media","Baja"))</f>
        <v>Media</v>
      </c>
      <c r="X290" t="str">
        <f>IF(AND(Tb_prod[[#This Row],[Consumo_Energia_MWh]]&lt;=2000,Tb_prod[[#This Row],[Riesgo_Ambiental]]="Alto"),"Crítica","Normal")</f>
        <v>Normal</v>
      </c>
    </row>
    <row r="291" spans="1:24">
      <c r="A291">
        <v>345</v>
      </c>
      <c r="B291" t="str">
        <f>VLOOKUP(Tb_prod[[#This Row],[Región]],AUX_REGION[],2,0)</f>
        <v>Minera Staff</v>
      </c>
      <c r="C291" t="s">
        <v>25</v>
      </c>
      <c r="D291" t="s">
        <v>13</v>
      </c>
      <c r="E291" t="s">
        <v>19</v>
      </c>
      <c r="F291" t="s">
        <v>24</v>
      </c>
      <c r="G291" t="s">
        <v>20</v>
      </c>
      <c r="H291" s="23">
        <v>3900.97</v>
      </c>
      <c r="I291" s="23">
        <v>1494.43</v>
      </c>
      <c r="J291" s="23">
        <v>51696.24</v>
      </c>
      <c r="K291" s="23">
        <v>945.04</v>
      </c>
      <c r="L291" s="10">
        <v>7552580580</v>
      </c>
      <c r="M291" s="9">
        <v>85057538400</v>
      </c>
      <c r="N291" s="12">
        <f xml:space="preserve"> Tb_prod[[#This Row],[Costo_Mantenimiento_CLP]] / Tb_prod[[#This Row],[Dias_Operación_Mes]]</f>
        <v>359646694.28571427</v>
      </c>
      <c r="O291" s="11">
        <f>Tb_prod[[#This Row],[Costo_Operativo_CLP]] / Tb_prod[[#This Row],[Producción_Toneladas]]</f>
        <v>21804202.134340946</v>
      </c>
      <c r="P291">
        <v>188</v>
      </c>
      <c r="Q291">
        <v>21</v>
      </c>
      <c r="R291" s="6">
        <v>45935</v>
      </c>
      <c r="S291" t="str">
        <f t="shared" si="8"/>
        <v>domingo</v>
      </c>
      <c r="T291" t="str">
        <f t="shared" si="9"/>
        <v>octubre</v>
      </c>
      <c r="U291">
        <v>90.28</v>
      </c>
      <c r="V291">
        <f xml:space="preserve"> Tb_prod[[#This Row],[Emisiones_CO2_ton]] / Tb_prod[[#This Row],[Cantidad_Empleados]]</f>
        <v>5.0268085106382978</v>
      </c>
      <c r="W291" t="str">
        <f>IF(Tb_prod[[#This Row],[Recuperación_Metal_Porcentaje]]&gt;90,"Alta",IF(Tb_prod[[#This Row],[Recuperación_Metal_Porcentaje]]&gt;75,"Media","Baja"))</f>
        <v>Alta</v>
      </c>
      <c r="X291" t="str">
        <f>IF(AND(Tb_prod[[#This Row],[Consumo_Energia_MWh]]&lt;=2000,Tb_prod[[#This Row],[Riesgo_Ambiental]]="Alto"),"Crítica","Normal")</f>
        <v>Crítica</v>
      </c>
    </row>
    <row r="292" spans="1:24">
      <c r="A292">
        <v>85</v>
      </c>
      <c r="B292" t="str">
        <f>VLOOKUP(Tb_prod[[#This Row],[Región]],AUX_REGION[],2,0)</f>
        <v>Minera del Norte</v>
      </c>
      <c r="C292" t="s">
        <v>27</v>
      </c>
      <c r="D292" t="s">
        <v>18</v>
      </c>
      <c r="E292" t="s">
        <v>19</v>
      </c>
      <c r="F292" t="s">
        <v>24</v>
      </c>
      <c r="G292" t="s">
        <v>16</v>
      </c>
      <c r="H292" s="23">
        <v>6247.31</v>
      </c>
      <c r="I292" s="23">
        <v>1560.35</v>
      </c>
      <c r="J292" s="23">
        <v>51802.68</v>
      </c>
      <c r="K292" s="23">
        <v>1127.8399999999999</v>
      </c>
      <c r="L292" s="10">
        <v>29645790750</v>
      </c>
      <c r="M292" s="9">
        <v>1895198879100</v>
      </c>
      <c r="N292" s="12">
        <f xml:space="preserve"> Tb_prod[[#This Row],[Costo_Mantenimiento_CLP]] / Tb_prod[[#This Row],[Dias_Operación_Mes]]</f>
        <v>1482289537.5</v>
      </c>
      <c r="O292" s="11">
        <f>Tb_prod[[#This Row],[Costo_Operativo_CLP]] / Tb_prod[[#This Row],[Producción_Toneladas]]</f>
        <v>303362387.82772106</v>
      </c>
      <c r="P292">
        <v>179</v>
      </c>
      <c r="Q292">
        <v>20</v>
      </c>
      <c r="R292" s="6">
        <v>45944</v>
      </c>
      <c r="S292" t="str">
        <f t="shared" si="8"/>
        <v>martes</v>
      </c>
      <c r="T292" t="str">
        <f t="shared" si="9"/>
        <v>octubre</v>
      </c>
      <c r="U292">
        <v>70.849999999999994</v>
      </c>
      <c r="V292">
        <f xml:space="preserve"> Tb_prod[[#This Row],[Emisiones_CO2_ton]] / Tb_prod[[#This Row],[Cantidad_Empleados]]</f>
        <v>6.3007821229050274</v>
      </c>
      <c r="W292" t="str">
        <f>IF(Tb_prod[[#This Row],[Recuperación_Metal_Porcentaje]]&gt;90,"Alta",IF(Tb_prod[[#This Row],[Recuperación_Metal_Porcentaje]]&gt;75,"Media","Baja"))</f>
        <v>Baja</v>
      </c>
      <c r="X292" t="str">
        <f>IF(AND(Tb_prod[[#This Row],[Consumo_Energia_MWh]]&lt;=2000,Tb_prod[[#This Row],[Riesgo_Ambiental]]="Alto"),"Crítica","Normal")</f>
        <v>Normal</v>
      </c>
    </row>
    <row r="293" spans="1:24">
      <c r="A293">
        <v>282</v>
      </c>
      <c r="B293" t="str">
        <f>VLOOKUP(Tb_prod[[#This Row],[Región]],AUX_REGION[],2,0)</f>
        <v>Minera Staff</v>
      </c>
      <c r="C293" t="s">
        <v>17</v>
      </c>
      <c r="D293" t="s">
        <v>13</v>
      </c>
      <c r="E293" t="s">
        <v>19</v>
      </c>
      <c r="F293" t="s">
        <v>24</v>
      </c>
      <c r="G293" t="s">
        <v>16</v>
      </c>
      <c r="H293" s="23">
        <v>2676.83</v>
      </c>
      <c r="I293" s="23">
        <v>2118.38</v>
      </c>
      <c r="J293" s="23">
        <v>51839.94</v>
      </c>
      <c r="K293" s="23">
        <v>1515.95</v>
      </c>
      <c r="L293" s="10">
        <v>7535754900</v>
      </c>
      <c r="M293" s="9">
        <v>164881893330</v>
      </c>
      <c r="N293" s="12">
        <f xml:space="preserve"> Tb_prod[[#This Row],[Costo_Mantenimiento_CLP]] / Tb_prod[[#This Row],[Dias_Operación_Mes]]</f>
        <v>279102033.33333331</v>
      </c>
      <c r="O293" s="11">
        <f>Tb_prod[[#This Row],[Costo_Operativo_CLP]] / Tb_prod[[#This Row],[Producción_Toneladas]]</f>
        <v>61595952.425069951</v>
      </c>
      <c r="P293">
        <v>79</v>
      </c>
      <c r="Q293">
        <v>27</v>
      </c>
      <c r="R293" s="6">
        <v>45093</v>
      </c>
      <c r="S293" t="str">
        <f t="shared" si="8"/>
        <v>viernes</v>
      </c>
      <c r="T293" t="str">
        <f t="shared" si="9"/>
        <v>junio</v>
      </c>
      <c r="U293">
        <v>82.97</v>
      </c>
      <c r="V293">
        <f xml:space="preserve"> Tb_prod[[#This Row],[Emisiones_CO2_ton]] / Tb_prod[[#This Row],[Cantidad_Empleados]]</f>
        <v>19.189240506329114</v>
      </c>
      <c r="W293" t="str">
        <f>IF(Tb_prod[[#This Row],[Recuperación_Metal_Porcentaje]]&gt;90,"Alta",IF(Tb_prod[[#This Row],[Recuperación_Metal_Porcentaje]]&gt;75,"Media","Baja"))</f>
        <v>Media</v>
      </c>
      <c r="X293" t="str">
        <f>IF(AND(Tb_prod[[#This Row],[Consumo_Energia_MWh]]&lt;=2000,Tb_prod[[#This Row],[Riesgo_Ambiental]]="Alto"),"Crítica","Normal")</f>
        <v>Normal</v>
      </c>
    </row>
    <row r="294" spans="1:24">
      <c r="A294">
        <v>128</v>
      </c>
      <c r="B294" t="str">
        <f>VLOOKUP(Tb_prod[[#This Row],[Región]],AUX_REGION[],2,0)</f>
        <v>Minera Staff</v>
      </c>
      <c r="C294" t="s">
        <v>12</v>
      </c>
      <c r="D294" t="s">
        <v>13</v>
      </c>
      <c r="E294" t="s">
        <v>19</v>
      </c>
      <c r="F294" t="s">
        <v>15</v>
      </c>
      <c r="G294" t="s">
        <v>22</v>
      </c>
      <c r="H294" s="23">
        <v>4597.05</v>
      </c>
      <c r="I294" s="23">
        <v>1573.73</v>
      </c>
      <c r="J294" s="23">
        <v>51856.36</v>
      </c>
      <c r="K294" s="23">
        <v>1633.26</v>
      </c>
      <c r="L294" s="10">
        <v>24637149990</v>
      </c>
      <c r="M294" s="9">
        <v>124824546270</v>
      </c>
      <c r="N294" s="12">
        <f xml:space="preserve"> Tb_prod[[#This Row],[Costo_Mantenimiento_CLP]] / Tb_prod[[#This Row],[Dias_Operación_Mes]]</f>
        <v>1071180434.3478261</v>
      </c>
      <c r="O294" s="11">
        <f>Tb_prod[[#This Row],[Costo_Operativo_CLP]] / Tb_prod[[#This Row],[Producción_Toneladas]]</f>
        <v>27153184.383463308</v>
      </c>
      <c r="P294">
        <v>194</v>
      </c>
      <c r="Q294">
        <v>23</v>
      </c>
      <c r="R294" s="6">
        <v>45572</v>
      </c>
      <c r="S294" t="str">
        <f t="shared" si="8"/>
        <v>lunes</v>
      </c>
      <c r="T294" t="str">
        <f t="shared" si="9"/>
        <v>octubre</v>
      </c>
      <c r="U294">
        <v>90.73</v>
      </c>
      <c r="V294">
        <f xml:space="preserve"> Tb_prod[[#This Row],[Emisiones_CO2_ton]] / Tb_prod[[#This Row],[Cantidad_Empleados]]</f>
        <v>8.4188659793814438</v>
      </c>
      <c r="W294" t="str">
        <f>IF(Tb_prod[[#This Row],[Recuperación_Metal_Porcentaje]]&gt;90,"Alta",IF(Tb_prod[[#This Row],[Recuperación_Metal_Porcentaje]]&gt;75,"Media","Baja"))</f>
        <v>Alta</v>
      </c>
      <c r="X294" t="str">
        <f>IF(AND(Tb_prod[[#This Row],[Consumo_Energia_MWh]]&lt;=2000,Tb_prod[[#This Row],[Riesgo_Ambiental]]="Alto"),"Crítica","Normal")</f>
        <v>Normal</v>
      </c>
    </row>
    <row r="295" spans="1:24">
      <c r="A295">
        <v>498</v>
      </c>
      <c r="B295" t="str">
        <f>VLOOKUP(Tb_prod[[#This Row],[Región]],AUX_REGION[],2,0)</f>
        <v>Minera Staff</v>
      </c>
      <c r="C295" t="s">
        <v>27</v>
      </c>
      <c r="D295" t="s">
        <v>13</v>
      </c>
      <c r="E295" t="s">
        <v>19</v>
      </c>
      <c r="F295" t="s">
        <v>24</v>
      </c>
      <c r="G295" t="s">
        <v>16</v>
      </c>
      <c r="H295" s="23">
        <v>5170.1000000000004</v>
      </c>
      <c r="I295" s="23">
        <v>2525.3000000000002</v>
      </c>
      <c r="J295" s="23">
        <v>51895.49</v>
      </c>
      <c r="K295" s="23">
        <v>848.97</v>
      </c>
      <c r="L295" s="10">
        <v>6745415040</v>
      </c>
      <c r="M295" s="9">
        <v>53768159280</v>
      </c>
      <c r="N295" s="12">
        <f xml:space="preserve"> Tb_prod[[#This Row],[Costo_Mantenimiento_CLP]] / Tb_prod[[#This Row],[Dias_Operación_Mes]]</f>
        <v>240907680</v>
      </c>
      <c r="O295" s="11">
        <f>Tb_prod[[#This Row],[Costo_Operativo_CLP]] / Tb_prod[[#This Row],[Producción_Toneladas]]</f>
        <v>10399829.651263999</v>
      </c>
      <c r="P295">
        <v>226</v>
      </c>
      <c r="Q295">
        <v>28</v>
      </c>
      <c r="R295" s="6">
        <v>45662</v>
      </c>
      <c r="S295" t="str">
        <f t="shared" si="8"/>
        <v>domingo</v>
      </c>
      <c r="T295" t="str">
        <f t="shared" si="9"/>
        <v>enero</v>
      </c>
      <c r="U295">
        <v>78.790000000000006</v>
      </c>
      <c r="V295">
        <f xml:space="preserve"> Tb_prod[[#This Row],[Emisiones_CO2_ton]] / Tb_prod[[#This Row],[Cantidad_Empleados]]</f>
        <v>3.7565044247787611</v>
      </c>
      <c r="W295" t="str">
        <f>IF(Tb_prod[[#This Row],[Recuperación_Metal_Porcentaje]]&gt;90,"Alta",IF(Tb_prod[[#This Row],[Recuperación_Metal_Porcentaje]]&gt;75,"Media","Baja"))</f>
        <v>Media</v>
      </c>
      <c r="X295" t="str">
        <f>IF(AND(Tb_prod[[#This Row],[Consumo_Energia_MWh]]&lt;=2000,Tb_prod[[#This Row],[Riesgo_Ambiental]]="Alto"),"Crítica","Normal")</f>
        <v>Normal</v>
      </c>
    </row>
    <row r="296" spans="1:24">
      <c r="A296">
        <v>265</v>
      </c>
      <c r="B296" t="str">
        <f>VLOOKUP(Tb_prod[[#This Row],[Región]],AUX_REGION[],2,0)</f>
        <v>Minera del Norte</v>
      </c>
      <c r="C296" t="s">
        <v>12</v>
      </c>
      <c r="D296" t="s">
        <v>18</v>
      </c>
      <c r="E296" t="s">
        <v>19</v>
      </c>
      <c r="F296" t="s">
        <v>15</v>
      </c>
      <c r="G296" t="s">
        <v>22</v>
      </c>
      <c r="H296" s="23">
        <v>4862.3599999999997</v>
      </c>
      <c r="I296" s="23">
        <v>2370.6</v>
      </c>
      <c r="J296" s="23">
        <v>51930.61</v>
      </c>
      <c r="K296" s="23">
        <v>1094.06</v>
      </c>
      <c r="L296" s="10">
        <v>5864061330</v>
      </c>
      <c r="M296" s="9">
        <v>107671152510</v>
      </c>
      <c r="N296" s="12">
        <f xml:space="preserve"> Tb_prod[[#This Row],[Costo_Mantenimiento_CLP]] / Tb_prod[[#This Row],[Dias_Operación_Mes]]</f>
        <v>279241015.71428573</v>
      </c>
      <c r="O296" s="11">
        <f>Tb_prod[[#This Row],[Costo_Operativo_CLP]] / Tb_prod[[#This Row],[Producción_Toneladas]]</f>
        <v>22143805.170740135</v>
      </c>
      <c r="P296">
        <v>108</v>
      </c>
      <c r="Q296">
        <v>21</v>
      </c>
      <c r="R296" s="6">
        <v>45780</v>
      </c>
      <c r="S296" t="str">
        <f t="shared" si="8"/>
        <v>sábado</v>
      </c>
      <c r="T296" t="str">
        <f t="shared" si="9"/>
        <v>mayo</v>
      </c>
      <c r="U296">
        <v>93.36</v>
      </c>
      <c r="V296">
        <f xml:space="preserve"> Tb_prod[[#This Row],[Emisiones_CO2_ton]] / Tb_prod[[#This Row],[Cantidad_Empleados]]</f>
        <v>10.130185185185185</v>
      </c>
      <c r="W296" t="str">
        <f>IF(Tb_prod[[#This Row],[Recuperación_Metal_Porcentaje]]&gt;90,"Alta",IF(Tb_prod[[#This Row],[Recuperación_Metal_Porcentaje]]&gt;75,"Media","Baja"))</f>
        <v>Alta</v>
      </c>
      <c r="X296" t="str">
        <f>IF(AND(Tb_prod[[#This Row],[Consumo_Energia_MWh]]&lt;=2000,Tb_prod[[#This Row],[Riesgo_Ambiental]]="Alto"),"Crítica","Normal")</f>
        <v>Normal</v>
      </c>
    </row>
    <row r="297" spans="1:24">
      <c r="A297">
        <v>457</v>
      </c>
      <c r="B297" t="str">
        <f>VLOOKUP(Tb_prod[[#This Row],[Región]],AUX_REGION[],2,0)</f>
        <v>Minera Staff</v>
      </c>
      <c r="C297" t="s">
        <v>17</v>
      </c>
      <c r="D297" t="s">
        <v>13</v>
      </c>
      <c r="E297" t="s">
        <v>14</v>
      </c>
      <c r="F297" t="s">
        <v>24</v>
      </c>
      <c r="G297" t="s">
        <v>20</v>
      </c>
      <c r="H297" s="23">
        <v>4879.6099999999997</v>
      </c>
      <c r="I297" s="23">
        <v>1941.37</v>
      </c>
      <c r="J297" s="23">
        <v>51932.47</v>
      </c>
      <c r="K297" s="23">
        <v>244.86</v>
      </c>
      <c r="L297" s="10">
        <v>44568206910</v>
      </c>
      <c r="M297" s="9">
        <v>118237128930</v>
      </c>
      <c r="N297" s="12">
        <f xml:space="preserve"> Tb_prod[[#This Row],[Costo_Mantenimiento_CLP]] / Tb_prod[[#This Row],[Dias_Operación_Mes]]</f>
        <v>2122295567.1428571</v>
      </c>
      <c r="O297" s="11">
        <f>Tb_prod[[#This Row],[Costo_Operativo_CLP]] / Tb_prod[[#This Row],[Producción_Toneladas]]</f>
        <v>24230856.345076758</v>
      </c>
      <c r="P297">
        <v>153</v>
      </c>
      <c r="Q297">
        <v>21</v>
      </c>
      <c r="R297" s="6">
        <v>45941</v>
      </c>
      <c r="S297" t="str">
        <f t="shared" si="8"/>
        <v>sábado</v>
      </c>
      <c r="T297" t="str">
        <f t="shared" si="9"/>
        <v>octubre</v>
      </c>
      <c r="U297">
        <v>72.650000000000006</v>
      </c>
      <c r="V297">
        <f xml:space="preserve"> Tb_prod[[#This Row],[Emisiones_CO2_ton]] / Tb_prod[[#This Row],[Cantidad_Empleados]]</f>
        <v>1.6003921568627453</v>
      </c>
      <c r="W297" t="str">
        <f>IF(Tb_prod[[#This Row],[Recuperación_Metal_Porcentaje]]&gt;90,"Alta",IF(Tb_prod[[#This Row],[Recuperación_Metal_Porcentaje]]&gt;75,"Media","Baja"))</f>
        <v>Baja</v>
      </c>
      <c r="X297" t="str">
        <f>IF(AND(Tb_prod[[#This Row],[Consumo_Energia_MWh]]&lt;=2000,Tb_prod[[#This Row],[Riesgo_Ambiental]]="Alto"),"Crítica","Normal")</f>
        <v>Crítica</v>
      </c>
    </row>
    <row r="298" spans="1:24">
      <c r="A298">
        <v>216</v>
      </c>
      <c r="B298" t="str">
        <f>VLOOKUP(Tb_prod[[#This Row],[Región]],AUX_REGION[],2,0)</f>
        <v>Minera del Norte</v>
      </c>
      <c r="C298" t="s">
        <v>21</v>
      </c>
      <c r="D298" t="s">
        <v>18</v>
      </c>
      <c r="E298" t="s">
        <v>14</v>
      </c>
      <c r="F298" t="s">
        <v>15</v>
      </c>
      <c r="G298" t="s">
        <v>20</v>
      </c>
      <c r="H298" s="23">
        <v>3632.31</v>
      </c>
      <c r="I298" s="23">
        <v>2646.77</v>
      </c>
      <c r="J298" s="23">
        <v>52008.35</v>
      </c>
      <c r="K298" s="23">
        <v>729.47</v>
      </c>
      <c r="L298" s="10">
        <v>1339894465138.8899</v>
      </c>
      <c r="M298" s="9">
        <v>42234735420</v>
      </c>
      <c r="N298" s="12">
        <f xml:space="preserve"> Tb_prod[[#This Row],[Costo_Mantenimiento_CLP]] / Tb_prod[[#This Row],[Dias_Operación_Mes]]</f>
        <v>46203257418.582413</v>
      </c>
      <c r="O298" s="11">
        <f>Tb_prod[[#This Row],[Costo_Operativo_CLP]] / Tb_prod[[#This Row],[Producción_Toneladas]]</f>
        <v>11627514.011744592</v>
      </c>
      <c r="P298">
        <v>187</v>
      </c>
      <c r="Q298">
        <v>29</v>
      </c>
      <c r="R298" s="6">
        <v>45327</v>
      </c>
      <c r="S298" t="str">
        <f t="shared" si="8"/>
        <v>lunes</v>
      </c>
      <c r="T298" t="str">
        <f t="shared" si="9"/>
        <v>febrero</v>
      </c>
      <c r="U298">
        <v>86.96</v>
      </c>
      <c r="V298">
        <f xml:space="preserve"> Tb_prod[[#This Row],[Emisiones_CO2_ton]] / Tb_prod[[#This Row],[Cantidad_Empleados]]</f>
        <v>3.9009090909090909</v>
      </c>
      <c r="W298" t="str">
        <f>IF(Tb_prod[[#This Row],[Recuperación_Metal_Porcentaje]]&gt;90,"Alta",IF(Tb_prod[[#This Row],[Recuperación_Metal_Porcentaje]]&gt;75,"Media","Baja"))</f>
        <v>Media</v>
      </c>
      <c r="X298" t="str">
        <f>IF(AND(Tb_prod[[#This Row],[Consumo_Energia_MWh]]&lt;=2000,Tb_prod[[#This Row],[Riesgo_Ambiental]]="Alto"),"Crítica","Normal")</f>
        <v>Normal</v>
      </c>
    </row>
    <row r="299" spans="1:24">
      <c r="A299">
        <v>431</v>
      </c>
      <c r="B299" t="str">
        <f>VLOOKUP(Tb_prod[[#This Row],[Región]],AUX_REGION[],2,0)</f>
        <v>Minera Staff</v>
      </c>
      <c r="C299" t="s">
        <v>25</v>
      </c>
      <c r="D299" t="s">
        <v>13</v>
      </c>
      <c r="E299" t="s">
        <v>19</v>
      </c>
      <c r="F299" t="s">
        <v>24</v>
      </c>
      <c r="G299" t="s">
        <v>20</v>
      </c>
      <c r="H299" s="23">
        <v>3766.07</v>
      </c>
      <c r="I299" s="23">
        <v>1713.8</v>
      </c>
      <c r="J299" s="23">
        <v>52062.62</v>
      </c>
      <c r="K299" s="23">
        <v>942.75</v>
      </c>
      <c r="L299" s="10">
        <v>40173958800</v>
      </c>
      <c r="M299" s="9">
        <v>142394176350</v>
      </c>
      <c r="N299" s="12">
        <f xml:space="preserve"> Tb_prod[[#This Row],[Costo_Mantenimiento_CLP]] / Tb_prod[[#This Row],[Dias_Operación_Mes]]</f>
        <v>1913045657.1428571</v>
      </c>
      <c r="O299" s="11">
        <f>Tb_prod[[#This Row],[Costo_Operativo_CLP]] / Tb_prod[[#This Row],[Producción_Toneladas]]</f>
        <v>37809752.965292729</v>
      </c>
      <c r="P299">
        <v>163</v>
      </c>
      <c r="Q299">
        <v>21</v>
      </c>
      <c r="R299" s="6">
        <v>45322</v>
      </c>
      <c r="S299" t="str">
        <f t="shared" si="8"/>
        <v>miércoles</v>
      </c>
      <c r="T299" t="str">
        <f t="shared" si="9"/>
        <v>enero</v>
      </c>
      <c r="U299">
        <v>93.47</v>
      </c>
      <c r="V299">
        <f xml:space="preserve"> Tb_prod[[#This Row],[Emisiones_CO2_ton]] / Tb_prod[[#This Row],[Cantidad_Empleados]]</f>
        <v>5.7837423312883436</v>
      </c>
      <c r="W299" t="str">
        <f>IF(Tb_prod[[#This Row],[Recuperación_Metal_Porcentaje]]&gt;90,"Alta",IF(Tb_prod[[#This Row],[Recuperación_Metal_Porcentaje]]&gt;75,"Media","Baja"))</f>
        <v>Alta</v>
      </c>
      <c r="X299" t="str">
        <f>IF(AND(Tb_prod[[#This Row],[Consumo_Energia_MWh]]&lt;=2000,Tb_prod[[#This Row],[Riesgo_Ambiental]]="Alto"),"Crítica","Normal")</f>
        <v>Crítica</v>
      </c>
    </row>
    <row r="300" spans="1:24">
      <c r="A300">
        <v>175</v>
      </c>
      <c r="B300" t="str">
        <f>VLOOKUP(Tb_prod[[#This Row],[Región]],AUX_REGION[],2,0)</f>
        <v>Minera del Norte</v>
      </c>
      <c r="C300" t="s">
        <v>12</v>
      </c>
      <c r="D300" t="s">
        <v>18</v>
      </c>
      <c r="E300" t="s">
        <v>14</v>
      </c>
      <c r="F300" t="s">
        <v>26</v>
      </c>
      <c r="G300" t="s">
        <v>20</v>
      </c>
      <c r="H300" s="23">
        <v>5646.26</v>
      </c>
      <c r="I300" s="23">
        <v>2189.02</v>
      </c>
      <c r="J300" s="23">
        <v>52128.55</v>
      </c>
      <c r="K300" s="23">
        <v>1176.1400000000001</v>
      </c>
      <c r="L300" s="10">
        <v>7423154190</v>
      </c>
      <c r="M300" s="9">
        <v>126168069510</v>
      </c>
      <c r="N300" s="12">
        <f xml:space="preserve"> Tb_prod[[#This Row],[Costo_Mantenimiento_CLP]] / Tb_prod[[#This Row],[Dias_Operación_Mes]]</f>
        <v>285505930.38461536</v>
      </c>
      <c r="O300" s="11">
        <f>Tb_prod[[#This Row],[Costo_Operativo_CLP]] / Tb_prod[[#This Row],[Producción_Toneladas]]</f>
        <v>22345423.255393837</v>
      </c>
      <c r="P300">
        <v>260</v>
      </c>
      <c r="Q300">
        <v>26</v>
      </c>
      <c r="R300" s="6">
        <v>45655</v>
      </c>
      <c r="S300" t="str">
        <f t="shared" si="8"/>
        <v>domingo</v>
      </c>
      <c r="T300" t="str">
        <f t="shared" si="9"/>
        <v>diciembre</v>
      </c>
      <c r="U300">
        <v>89.99</v>
      </c>
      <c r="V300">
        <f xml:space="preserve"> Tb_prod[[#This Row],[Emisiones_CO2_ton]] / Tb_prod[[#This Row],[Cantidad_Empleados]]</f>
        <v>4.5236153846153853</v>
      </c>
      <c r="W300" t="str">
        <f>IF(Tb_prod[[#This Row],[Recuperación_Metal_Porcentaje]]&gt;90,"Alta",IF(Tb_prod[[#This Row],[Recuperación_Metal_Porcentaje]]&gt;75,"Media","Baja"))</f>
        <v>Media</v>
      </c>
      <c r="X300" t="str">
        <f>IF(AND(Tb_prod[[#This Row],[Consumo_Energia_MWh]]&lt;=2000,Tb_prod[[#This Row],[Riesgo_Ambiental]]="Alto"),"Crítica","Normal")</f>
        <v>Normal</v>
      </c>
    </row>
    <row r="301" spans="1:24">
      <c r="A301">
        <v>159</v>
      </c>
      <c r="B301" t="str">
        <f>VLOOKUP(Tb_prod[[#This Row],[Región]],AUX_REGION[],2,0)</f>
        <v>Minera del Norte</v>
      </c>
      <c r="C301" t="s">
        <v>27</v>
      </c>
      <c r="D301" t="s">
        <v>18</v>
      </c>
      <c r="E301" t="s">
        <v>14</v>
      </c>
      <c r="F301" t="s">
        <v>15</v>
      </c>
      <c r="G301" t="s">
        <v>16</v>
      </c>
      <c r="H301" s="23">
        <v>6655.5</v>
      </c>
      <c r="I301" s="23">
        <v>1814.87</v>
      </c>
      <c r="J301" s="23">
        <v>52143.87</v>
      </c>
      <c r="K301" s="23">
        <v>1227.3699999999999</v>
      </c>
      <c r="L301" s="10">
        <v>44878934430</v>
      </c>
      <c r="M301" s="9">
        <v>55273060350</v>
      </c>
      <c r="N301" s="12">
        <f xml:space="preserve"> Tb_prod[[#This Row],[Costo_Mantenimiento_CLP]] / Tb_prod[[#This Row],[Dias_Operación_Mes]]</f>
        <v>1726112862.6923077</v>
      </c>
      <c r="O301" s="11">
        <f>Tb_prod[[#This Row],[Costo_Operativo_CLP]] / Tb_prod[[#This Row],[Producción_Toneladas]]</f>
        <v>8304869.7092630155</v>
      </c>
      <c r="P301">
        <v>67</v>
      </c>
      <c r="Q301">
        <v>26</v>
      </c>
      <c r="R301" s="6">
        <v>45206</v>
      </c>
      <c r="S301" t="str">
        <f t="shared" si="8"/>
        <v>sábado</v>
      </c>
      <c r="T301" t="str">
        <f t="shared" si="9"/>
        <v>octubre</v>
      </c>
      <c r="U301">
        <v>98.43</v>
      </c>
      <c r="V301">
        <f xml:space="preserve"> Tb_prod[[#This Row],[Emisiones_CO2_ton]] / Tb_prod[[#This Row],[Cantidad_Empleados]]</f>
        <v>18.318955223880597</v>
      </c>
      <c r="W301" t="str">
        <f>IF(Tb_prod[[#This Row],[Recuperación_Metal_Porcentaje]]&gt;90,"Alta",IF(Tb_prod[[#This Row],[Recuperación_Metal_Porcentaje]]&gt;75,"Media","Baja"))</f>
        <v>Alta</v>
      </c>
      <c r="X301" t="str">
        <f>IF(AND(Tb_prod[[#This Row],[Consumo_Energia_MWh]]&lt;=2000,Tb_prod[[#This Row],[Riesgo_Ambiental]]="Alto"),"Crítica","Normal")</f>
        <v>Normal</v>
      </c>
    </row>
    <row r="302" spans="1:24">
      <c r="A302">
        <v>305</v>
      </c>
      <c r="B302" t="str">
        <f>VLOOKUP(Tb_prod[[#This Row],[Región]],AUX_REGION[],2,0)</f>
        <v>Minera Romero</v>
      </c>
      <c r="C302" t="s">
        <v>21</v>
      </c>
      <c r="D302" t="s">
        <v>23</v>
      </c>
      <c r="E302" t="s">
        <v>14</v>
      </c>
      <c r="F302" t="s">
        <v>15</v>
      </c>
      <c r="G302" t="s">
        <v>20</v>
      </c>
      <c r="H302" s="23">
        <v>5025.33</v>
      </c>
      <c r="I302" s="23">
        <v>2077.44</v>
      </c>
      <c r="J302" s="23">
        <v>52297.91</v>
      </c>
      <c r="K302" s="23">
        <v>1217.8</v>
      </c>
      <c r="L302" s="10">
        <v>33844629240</v>
      </c>
      <c r="M302" s="9">
        <v>96640648290</v>
      </c>
      <c r="N302" s="12">
        <f xml:space="preserve"> Tb_prod[[#This Row],[Costo_Mantenimiento_CLP]] / Tb_prod[[#This Row],[Dias_Operación_Mes]]</f>
        <v>1471505619.1304348</v>
      </c>
      <c r="O302" s="11">
        <f>Tb_prod[[#This Row],[Costo_Operativo_CLP]] / Tb_prod[[#This Row],[Producción_Toneladas]]</f>
        <v>19230706.896860506</v>
      </c>
      <c r="P302">
        <v>251</v>
      </c>
      <c r="Q302">
        <v>23</v>
      </c>
      <c r="R302" s="6">
        <v>46003</v>
      </c>
      <c r="S302" t="str">
        <f t="shared" si="8"/>
        <v>viernes</v>
      </c>
      <c r="T302" t="str">
        <f t="shared" si="9"/>
        <v>diciembre</v>
      </c>
      <c r="U302">
        <v>83.42</v>
      </c>
      <c r="V302">
        <f xml:space="preserve"> Tb_prod[[#This Row],[Emisiones_CO2_ton]] / Tb_prod[[#This Row],[Cantidad_Empleados]]</f>
        <v>4.8517928286852587</v>
      </c>
      <c r="W302" t="str">
        <f>IF(Tb_prod[[#This Row],[Recuperación_Metal_Porcentaje]]&gt;90,"Alta",IF(Tb_prod[[#This Row],[Recuperación_Metal_Porcentaje]]&gt;75,"Media","Baja"))</f>
        <v>Media</v>
      </c>
      <c r="X302" t="str">
        <f>IF(AND(Tb_prod[[#This Row],[Consumo_Energia_MWh]]&lt;=2000,Tb_prod[[#This Row],[Riesgo_Ambiental]]="Alto"),"Crítica","Normal")</f>
        <v>Normal</v>
      </c>
    </row>
    <row r="303" spans="1:24">
      <c r="A303">
        <v>119</v>
      </c>
      <c r="B303" t="str">
        <f>VLOOKUP(Tb_prod[[#This Row],[Región]],AUX_REGION[],2,0)</f>
        <v>Minera Staff</v>
      </c>
      <c r="C303" t="s">
        <v>27</v>
      </c>
      <c r="D303" t="s">
        <v>13</v>
      </c>
      <c r="E303" t="s">
        <v>19</v>
      </c>
      <c r="F303" t="s">
        <v>26</v>
      </c>
      <c r="G303" t="s">
        <v>22</v>
      </c>
      <c r="H303" s="23">
        <v>7797.5</v>
      </c>
      <c r="I303" s="23">
        <v>2607.14</v>
      </c>
      <c r="J303" s="23">
        <v>52351.07</v>
      </c>
      <c r="K303" s="23">
        <v>1102.3399999999999</v>
      </c>
      <c r="L303" s="10">
        <v>42787072080</v>
      </c>
      <c r="M303" s="9">
        <v>46491265530</v>
      </c>
      <c r="N303" s="12">
        <f xml:space="preserve"> Tb_prod[[#This Row],[Costo_Mantenimiento_CLP]] / Tb_prod[[#This Row],[Dias_Operación_Mes]]</f>
        <v>1528109717.1428571</v>
      </c>
      <c r="O303" s="11">
        <f>Tb_prod[[#This Row],[Costo_Operativo_CLP]] / Tb_prod[[#This Row],[Producción_Toneladas]]</f>
        <v>5962329.660788714</v>
      </c>
      <c r="P303">
        <v>58</v>
      </c>
      <c r="Q303">
        <v>28</v>
      </c>
      <c r="R303" s="6">
        <v>45157</v>
      </c>
      <c r="S303" t="str">
        <f t="shared" si="8"/>
        <v>sábado</v>
      </c>
      <c r="T303" t="str">
        <f t="shared" si="9"/>
        <v>agosto</v>
      </c>
      <c r="U303">
        <v>94.74</v>
      </c>
      <c r="V303">
        <f xml:space="preserve"> Tb_prod[[#This Row],[Emisiones_CO2_ton]] / Tb_prod[[#This Row],[Cantidad_Empleados]]</f>
        <v>19.005862068965516</v>
      </c>
      <c r="W303" t="str">
        <f>IF(Tb_prod[[#This Row],[Recuperación_Metal_Porcentaje]]&gt;90,"Alta",IF(Tb_prod[[#This Row],[Recuperación_Metal_Porcentaje]]&gt;75,"Media","Baja"))</f>
        <v>Alta</v>
      </c>
      <c r="X303" t="str">
        <f>IF(AND(Tb_prod[[#This Row],[Consumo_Energia_MWh]]&lt;=2000,Tb_prod[[#This Row],[Riesgo_Ambiental]]="Alto"),"Crítica","Normal")</f>
        <v>Normal</v>
      </c>
    </row>
    <row r="304" spans="1:24">
      <c r="A304">
        <v>416</v>
      </c>
      <c r="B304" t="str">
        <f>VLOOKUP(Tb_prod[[#This Row],[Región]],AUX_REGION[],2,0)</f>
        <v>Minera Staff</v>
      </c>
      <c r="C304" t="s">
        <v>17</v>
      </c>
      <c r="D304" t="s">
        <v>13</v>
      </c>
      <c r="E304" t="s">
        <v>19</v>
      </c>
      <c r="F304" t="s">
        <v>24</v>
      </c>
      <c r="G304" t="s">
        <v>22</v>
      </c>
      <c r="H304" s="23">
        <v>8520.57</v>
      </c>
      <c r="I304" s="23">
        <v>1496.1</v>
      </c>
      <c r="J304" s="23">
        <v>52651</v>
      </c>
      <c r="K304" s="23">
        <v>1031.1400000000001</v>
      </c>
      <c r="L304" s="10">
        <v>25441733160</v>
      </c>
      <c r="M304" s="9">
        <v>43961916150</v>
      </c>
      <c r="N304" s="12">
        <f xml:space="preserve"> Tb_prod[[#This Row],[Costo_Mantenimiento_CLP]] / Tb_prod[[#This Row],[Dias_Operación_Mes]]</f>
        <v>1017669326.4</v>
      </c>
      <c r="O304" s="11">
        <f>Tb_prod[[#This Row],[Costo_Operativo_CLP]] / Tb_prod[[#This Row],[Producción_Toneladas]]</f>
        <v>5159504.1352867242</v>
      </c>
      <c r="P304">
        <v>287</v>
      </c>
      <c r="Q304">
        <v>25</v>
      </c>
      <c r="R304" s="6">
        <v>45579</v>
      </c>
      <c r="S304" t="str">
        <f t="shared" si="8"/>
        <v>lunes</v>
      </c>
      <c r="T304" t="str">
        <f t="shared" si="9"/>
        <v>octubre</v>
      </c>
      <c r="U304">
        <v>79.150000000000006</v>
      </c>
      <c r="V304">
        <f xml:space="preserve"> Tb_prod[[#This Row],[Emisiones_CO2_ton]] / Tb_prod[[#This Row],[Cantidad_Empleados]]</f>
        <v>3.5928222996515684</v>
      </c>
      <c r="W304" t="str">
        <f>IF(Tb_prod[[#This Row],[Recuperación_Metal_Porcentaje]]&gt;90,"Alta",IF(Tb_prod[[#This Row],[Recuperación_Metal_Porcentaje]]&gt;75,"Media","Baja"))</f>
        <v>Media</v>
      </c>
      <c r="X304" t="str">
        <f>IF(AND(Tb_prod[[#This Row],[Consumo_Energia_MWh]]&lt;=2000,Tb_prod[[#This Row],[Riesgo_Ambiental]]="Alto"),"Crítica","Normal")</f>
        <v>Normal</v>
      </c>
    </row>
    <row r="305" spans="1:24">
      <c r="A305">
        <v>253</v>
      </c>
      <c r="B305" t="str">
        <f>VLOOKUP(Tb_prod[[#This Row],[Región]],AUX_REGION[],2,0)</f>
        <v>Minera Staff</v>
      </c>
      <c r="C305" t="s">
        <v>12</v>
      </c>
      <c r="D305" t="s">
        <v>13</v>
      </c>
      <c r="E305" t="s">
        <v>14</v>
      </c>
      <c r="F305" t="s">
        <v>24</v>
      </c>
      <c r="G305" t="s">
        <v>22</v>
      </c>
      <c r="H305" s="23">
        <v>4720.92</v>
      </c>
      <c r="I305" s="23">
        <v>1404.59</v>
      </c>
      <c r="J305" s="23">
        <v>52681.08</v>
      </c>
      <c r="K305" s="23">
        <v>171.68</v>
      </c>
      <c r="L305" s="10">
        <v>9149402070</v>
      </c>
      <c r="M305" s="9">
        <v>136329432570</v>
      </c>
      <c r="N305" s="12">
        <f xml:space="preserve"> Tb_prod[[#This Row],[Costo_Mantenimiento_CLP]] / Tb_prod[[#This Row],[Dias_Operación_Mes]]</f>
        <v>351900079.61538464</v>
      </c>
      <c r="O305" s="11">
        <f>Tb_prod[[#This Row],[Costo_Operativo_CLP]] / Tb_prod[[#This Row],[Producción_Toneladas]]</f>
        <v>28877725.648814213</v>
      </c>
      <c r="P305">
        <v>254</v>
      </c>
      <c r="Q305">
        <v>26</v>
      </c>
      <c r="R305" s="6">
        <v>45626</v>
      </c>
      <c r="S305" t="str">
        <f t="shared" si="8"/>
        <v>sábado</v>
      </c>
      <c r="T305" t="str">
        <f t="shared" si="9"/>
        <v>noviembre</v>
      </c>
      <c r="U305">
        <v>83.14</v>
      </c>
      <c r="V305">
        <f xml:space="preserve"> Tb_prod[[#This Row],[Emisiones_CO2_ton]] / Tb_prod[[#This Row],[Cantidad_Empleados]]</f>
        <v>0.67590551181102365</v>
      </c>
      <c r="W305" t="str">
        <f>IF(Tb_prod[[#This Row],[Recuperación_Metal_Porcentaje]]&gt;90,"Alta",IF(Tb_prod[[#This Row],[Recuperación_Metal_Porcentaje]]&gt;75,"Media","Baja"))</f>
        <v>Media</v>
      </c>
      <c r="X305" t="str">
        <f>IF(AND(Tb_prod[[#This Row],[Consumo_Energia_MWh]]&lt;=2000,Tb_prod[[#This Row],[Riesgo_Ambiental]]="Alto"),"Crítica","Normal")</f>
        <v>Normal</v>
      </c>
    </row>
    <row r="306" spans="1:24">
      <c r="A306">
        <v>259</v>
      </c>
      <c r="B306" t="str">
        <f>VLOOKUP(Tb_prod[[#This Row],[Región]],AUX_REGION[],2,0)</f>
        <v>Minera Romero</v>
      </c>
      <c r="C306" t="s">
        <v>25</v>
      </c>
      <c r="D306" t="s">
        <v>23</v>
      </c>
      <c r="E306" t="s">
        <v>14</v>
      </c>
      <c r="F306" t="s">
        <v>15</v>
      </c>
      <c r="G306" t="s">
        <v>16</v>
      </c>
      <c r="H306" s="23">
        <v>2945.45</v>
      </c>
      <c r="I306" s="23">
        <v>1457.29</v>
      </c>
      <c r="J306" s="23">
        <v>52685.45</v>
      </c>
      <c r="K306" s="23">
        <v>1112.28</v>
      </c>
      <c r="L306" s="10">
        <v>20419155900</v>
      </c>
      <c r="M306" s="9">
        <v>90151423290</v>
      </c>
      <c r="N306" s="12">
        <f xml:space="preserve"> Tb_prod[[#This Row],[Costo_Mantenimiento_CLP]] / Tb_prod[[#This Row],[Dias_Operación_Mes]]</f>
        <v>972340757.14285719</v>
      </c>
      <c r="O306" s="11">
        <f>Tb_prod[[#This Row],[Costo_Operativo_CLP]] / Tb_prod[[#This Row],[Producción_Toneladas]]</f>
        <v>30607011.930265326</v>
      </c>
      <c r="P306">
        <v>268</v>
      </c>
      <c r="Q306">
        <v>21</v>
      </c>
      <c r="R306" s="6">
        <v>45054</v>
      </c>
      <c r="S306" t="str">
        <f t="shared" si="8"/>
        <v>lunes</v>
      </c>
      <c r="T306" t="str">
        <f t="shared" si="9"/>
        <v>mayo</v>
      </c>
      <c r="U306">
        <v>80.48</v>
      </c>
      <c r="V306">
        <f xml:space="preserve"> Tb_prod[[#This Row],[Emisiones_CO2_ton]] / Tb_prod[[#This Row],[Cantidad_Empleados]]</f>
        <v>4.1502985074626864</v>
      </c>
      <c r="W306" t="str">
        <f>IF(Tb_prod[[#This Row],[Recuperación_Metal_Porcentaje]]&gt;90,"Alta",IF(Tb_prod[[#This Row],[Recuperación_Metal_Porcentaje]]&gt;75,"Media","Baja"))</f>
        <v>Media</v>
      </c>
      <c r="X306" t="str">
        <f>IF(AND(Tb_prod[[#This Row],[Consumo_Energia_MWh]]&lt;=2000,Tb_prod[[#This Row],[Riesgo_Ambiental]]="Alto"),"Crítica","Normal")</f>
        <v>Normal</v>
      </c>
    </row>
    <row r="307" spans="1:24">
      <c r="A307">
        <v>5</v>
      </c>
      <c r="B307" t="str">
        <f>VLOOKUP(Tb_prod[[#This Row],[Región]],AUX_REGION[],2,0)</f>
        <v>Minera Romero</v>
      </c>
      <c r="C307" t="s">
        <v>17</v>
      </c>
      <c r="D307" t="s">
        <v>23</v>
      </c>
      <c r="E307" t="s">
        <v>19</v>
      </c>
      <c r="F307" t="s">
        <v>24</v>
      </c>
      <c r="G307" t="s">
        <v>20</v>
      </c>
      <c r="H307" s="23">
        <v>5354</v>
      </c>
      <c r="I307" s="23">
        <v>2749.48</v>
      </c>
      <c r="J307" s="23">
        <v>52873.87</v>
      </c>
      <c r="K307" s="23">
        <v>1410.05</v>
      </c>
      <c r="L307" s="10">
        <v>4670101800</v>
      </c>
      <c r="M307" s="9">
        <v>43079208660</v>
      </c>
      <c r="N307" s="12">
        <f xml:space="preserve"> Tb_prod[[#This Row],[Costo_Mantenimiento_CLP]] / Tb_prod[[#This Row],[Dias_Operación_Mes]]</f>
        <v>161037993.10344827</v>
      </c>
      <c r="O307" s="11">
        <f>Tb_prod[[#This Row],[Costo_Operativo_CLP]] / Tb_prod[[#This Row],[Producción_Toneladas]]</f>
        <v>8046172.7045199852</v>
      </c>
      <c r="P307">
        <v>106</v>
      </c>
      <c r="Q307">
        <v>29</v>
      </c>
      <c r="R307" s="6">
        <v>45257</v>
      </c>
      <c r="S307" t="str">
        <f t="shared" si="8"/>
        <v>lunes</v>
      </c>
      <c r="T307" t="str">
        <f t="shared" si="9"/>
        <v>noviembre</v>
      </c>
      <c r="U307">
        <v>98.67</v>
      </c>
      <c r="V307">
        <f xml:space="preserve"> Tb_prod[[#This Row],[Emisiones_CO2_ton]] / Tb_prod[[#This Row],[Cantidad_Empleados]]</f>
        <v>13.302358490566037</v>
      </c>
      <c r="W307" t="str">
        <f>IF(Tb_prod[[#This Row],[Recuperación_Metal_Porcentaje]]&gt;90,"Alta",IF(Tb_prod[[#This Row],[Recuperación_Metal_Porcentaje]]&gt;75,"Media","Baja"))</f>
        <v>Alta</v>
      </c>
      <c r="X307" t="str">
        <f>IF(AND(Tb_prod[[#This Row],[Consumo_Energia_MWh]]&lt;=2000,Tb_prod[[#This Row],[Riesgo_Ambiental]]="Alto"),"Crítica","Normal")</f>
        <v>Normal</v>
      </c>
    </row>
    <row r="308" spans="1:24">
      <c r="A308">
        <v>328</v>
      </c>
      <c r="B308" t="str">
        <f>VLOOKUP(Tb_prod[[#This Row],[Región]],AUX_REGION[],2,0)</f>
        <v>Minera Romero</v>
      </c>
      <c r="C308" t="s">
        <v>17</v>
      </c>
      <c r="D308" t="s">
        <v>23</v>
      </c>
      <c r="E308" t="s">
        <v>14</v>
      </c>
      <c r="F308" t="s">
        <v>26</v>
      </c>
      <c r="G308" t="s">
        <v>22</v>
      </c>
      <c r="H308" s="23">
        <v>6634.16</v>
      </c>
      <c r="I308" s="23">
        <v>1901.49</v>
      </c>
      <c r="J308" s="23">
        <v>52907.63</v>
      </c>
      <c r="K308" s="23">
        <v>775.36</v>
      </c>
      <c r="L308" s="10">
        <v>40753124730</v>
      </c>
      <c r="M308" s="9">
        <v>126000880830</v>
      </c>
      <c r="N308" s="12">
        <f xml:space="preserve"> Tb_prod[[#This Row],[Costo_Mantenimiento_CLP]] / Tb_prod[[#This Row],[Dias_Operación_Mes]]</f>
        <v>1771874988.2608695</v>
      </c>
      <c r="O308" s="11">
        <f>Tb_prod[[#This Row],[Costo_Operativo_CLP]] / Tb_prod[[#This Row],[Producción_Toneladas]]</f>
        <v>18992740.728291146</v>
      </c>
      <c r="P308">
        <v>189</v>
      </c>
      <c r="Q308">
        <v>23</v>
      </c>
      <c r="R308" s="6">
        <v>45754</v>
      </c>
      <c r="S308" t="str">
        <f t="shared" si="8"/>
        <v>lunes</v>
      </c>
      <c r="T308" t="str">
        <f t="shared" si="9"/>
        <v>abril</v>
      </c>
      <c r="U308">
        <v>85.31</v>
      </c>
      <c r="V308">
        <f xml:space="preserve"> Tb_prod[[#This Row],[Emisiones_CO2_ton]] / Tb_prod[[#This Row],[Cantidad_Empleados]]</f>
        <v>4.1024338624338625</v>
      </c>
      <c r="W308" t="str">
        <f>IF(Tb_prod[[#This Row],[Recuperación_Metal_Porcentaje]]&gt;90,"Alta",IF(Tb_prod[[#This Row],[Recuperación_Metal_Porcentaje]]&gt;75,"Media","Baja"))</f>
        <v>Media</v>
      </c>
      <c r="X308" t="str">
        <f>IF(AND(Tb_prod[[#This Row],[Consumo_Energia_MWh]]&lt;=2000,Tb_prod[[#This Row],[Riesgo_Ambiental]]="Alto"),"Crítica","Normal")</f>
        <v>Normal</v>
      </c>
    </row>
    <row r="309" spans="1:24">
      <c r="A309">
        <v>214</v>
      </c>
      <c r="B309" t="str">
        <f>VLOOKUP(Tb_prod[[#This Row],[Región]],AUX_REGION[],2,0)</f>
        <v>Minera del Norte</v>
      </c>
      <c r="C309" t="s">
        <v>25</v>
      </c>
      <c r="D309" t="s">
        <v>18</v>
      </c>
      <c r="E309" t="s">
        <v>14</v>
      </c>
      <c r="F309" t="s">
        <v>15</v>
      </c>
      <c r="G309" t="s">
        <v>22</v>
      </c>
      <c r="H309" s="23">
        <v>5655.07</v>
      </c>
      <c r="I309" s="23">
        <v>1881.54</v>
      </c>
      <c r="J309" s="23">
        <v>52916.14</v>
      </c>
      <c r="K309" s="23">
        <v>990.83</v>
      </c>
      <c r="L309" s="10">
        <v>13551801210</v>
      </c>
      <c r="M309" s="9">
        <v>89657895780</v>
      </c>
      <c r="N309" s="12">
        <f xml:space="preserve"> Tb_prod[[#This Row],[Costo_Mantenimiento_CLP]] / Tb_prod[[#This Row],[Dias_Operación_Mes]]</f>
        <v>451726707</v>
      </c>
      <c r="O309" s="11">
        <f>Tb_prod[[#This Row],[Costo_Operativo_CLP]] / Tb_prod[[#This Row],[Producción_Toneladas]]</f>
        <v>15854427.227249177</v>
      </c>
      <c r="P309">
        <v>81</v>
      </c>
      <c r="Q309">
        <v>30</v>
      </c>
      <c r="R309" s="6">
        <v>45018</v>
      </c>
      <c r="S309" t="str">
        <f t="shared" si="8"/>
        <v>domingo</v>
      </c>
      <c r="T309" t="str">
        <f t="shared" si="9"/>
        <v>abril</v>
      </c>
      <c r="U309">
        <v>88.65</v>
      </c>
      <c r="V309">
        <f xml:space="preserve"> Tb_prod[[#This Row],[Emisiones_CO2_ton]] / Tb_prod[[#This Row],[Cantidad_Empleados]]</f>
        <v>12.23246913580247</v>
      </c>
      <c r="W309" t="str">
        <f>IF(Tb_prod[[#This Row],[Recuperación_Metal_Porcentaje]]&gt;90,"Alta",IF(Tb_prod[[#This Row],[Recuperación_Metal_Porcentaje]]&gt;75,"Media","Baja"))</f>
        <v>Media</v>
      </c>
      <c r="X309" t="str">
        <f>IF(AND(Tb_prod[[#This Row],[Consumo_Energia_MWh]]&lt;=2000,Tb_prod[[#This Row],[Riesgo_Ambiental]]="Alto"),"Crítica","Normal")</f>
        <v>Normal</v>
      </c>
    </row>
    <row r="310" spans="1:24">
      <c r="A310">
        <v>348</v>
      </c>
      <c r="B310" t="str">
        <f>VLOOKUP(Tb_prod[[#This Row],[Región]],AUX_REGION[],2,0)</f>
        <v>Minera Romero</v>
      </c>
      <c r="C310" t="s">
        <v>27</v>
      </c>
      <c r="D310" t="s">
        <v>23</v>
      </c>
      <c r="E310" t="s">
        <v>14</v>
      </c>
      <c r="F310" t="s">
        <v>24</v>
      </c>
      <c r="G310" t="s">
        <v>16</v>
      </c>
      <c r="H310" s="23">
        <v>3784.89</v>
      </c>
      <c r="I310" s="23">
        <v>2134.11</v>
      </c>
      <c r="J310" s="23">
        <v>52927.67</v>
      </c>
      <c r="K310" s="23">
        <v>1091.69</v>
      </c>
      <c r="L310" s="10">
        <v>7220300130</v>
      </c>
      <c r="M310" s="9">
        <v>65439199350</v>
      </c>
      <c r="N310" s="12">
        <f xml:space="preserve"> Tb_prod[[#This Row],[Costo_Mantenimiento_CLP]] / Tb_prod[[#This Row],[Dias_Operación_Mes]]</f>
        <v>277703851.15384614</v>
      </c>
      <c r="O310" s="11">
        <f>Tb_prod[[#This Row],[Costo_Operativo_CLP]] / Tb_prod[[#This Row],[Producción_Toneladas]]</f>
        <v>17289590.80713046</v>
      </c>
      <c r="P310">
        <v>144</v>
      </c>
      <c r="Q310">
        <v>26</v>
      </c>
      <c r="R310" s="6">
        <v>45908</v>
      </c>
      <c r="S310" t="str">
        <f t="shared" si="8"/>
        <v>lunes</v>
      </c>
      <c r="T310" t="str">
        <f t="shared" si="9"/>
        <v>septiembre</v>
      </c>
      <c r="U310">
        <v>85.45</v>
      </c>
      <c r="V310">
        <f xml:space="preserve"> Tb_prod[[#This Row],[Emisiones_CO2_ton]] / Tb_prod[[#This Row],[Cantidad_Empleados]]</f>
        <v>7.581180555555556</v>
      </c>
      <c r="W310" t="str">
        <f>IF(Tb_prod[[#This Row],[Recuperación_Metal_Porcentaje]]&gt;90,"Alta",IF(Tb_prod[[#This Row],[Recuperación_Metal_Porcentaje]]&gt;75,"Media","Baja"))</f>
        <v>Media</v>
      </c>
      <c r="X310" t="str">
        <f>IF(AND(Tb_prod[[#This Row],[Consumo_Energia_MWh]]&lt;=2000,Tb_prod[[#This Row],[Riesgo_Ambiental]]="Alto"),"Crítica","Normal")</f>
        <v>Normal</v>
      </c>
    </row>
    <row r="311" spans="1:24">
      <c r="A311">
        <v>443</v>
      </c>
      <c r="B311" t="str">
        <f>VLOOKUP(Tb_prod[[#This Row],[Región]],AUX_REGION[],2,0)</f>
        <v>Minera Romero</v>
      </c>
      <c r="C311" t="s">
        <v>21</v>
      </c>
      <c r="D311" t="s">
        <v>23</v>
      </c>
      <c r="E311" t="s">
        <v>19</v>
      </c>
      <c r="F311" t="s">
        <v>15</v>
      </c>
      <c r="G311" t="s">
        <v>22</v>
      </c>
      <c r="H311" s="23">
        <v>5264.77</v>
      </c>
      <c r="I311" s="23">
        <v>1698.11</v>
      </c>
      <c r="J311" s="23">
        <v>52967.76</v>
      </c>
      <c r="K311" s="23">
        <v>504.29</v>
      </c>
      <c r="L311" s="10">
        <v>11319543810</v>
      </c>
      <c r="M311" s="9">
        <v>44549393940</v>
      </c>
      <c r="N311" s="12">
        <f xml:space="preserve"> Tb_prod[[#This Row],[Costo_Mantenimiento_CLP]] / Tb_prod[[#This Row],[Dias_Operación_Mes]]</f>
        <v>390329096.89655173</v>
      </c>
      <c r="O311" s="11">
        <f>Tb_prod[[#This Row],[Costo_Operativo_CLP]] / Tb_prod[[#This Row],[Producción_Toneladas]]</f>
        <v>8461793.0014036689</v>
      </c>
      <c r="P311">
        <v>168</v>
      </c>
      <c r="Q311">
        <v>29</v>
      </c>
      <c r="R311" s="6">
        <v>45161</v>
      </c>
      <c r="S311" t="str">
        <f t="shared" si="8"/>
        <v>miércoles</v>
      </c>
      <c r="T311" t="str">
        <f t="shared" si="9"/>
        <v>agosto</v>
      </c>
      <c r="U311">
        <v>98.19</v>
      </c>
      <c r="V311">
        <f xml:space="preserve"> Tb_prod[[#This Row],[Emisiones_CO2_ton]] / Tb_prod[[#This Row],[Cantidad_Empleados]]</f>
        <v>3.0017261904761905</v>
      </c>
      <c r="W311" t="str">
        <f>IF(Tb_prod[[#This Row],[Recuperación_Metal_Porcentaje]]&gt;90,"Alta",IF(Tb_prod[[#This Row],[Recuperación_Metal_Porcentaje]]&gt;75,"Media","Baja"))</f>
        <v>Alta</v>
      </c>
      <c r="X311" t="str">
        <f>IF(AND(Tb_prod[[#This Row],[Consumo_Energia_MWh]]&lt;=2000,Tb_prod[[#This Row],[Riesgo_Ambiental]]="Alto"),"Crítica","Normal")</f>
        <v>Normal</v>
      </c>
    </row>
    <row r="312" spans="1:24">
      <c r="A312">
        <v>291</v>
      </c>
      <c r="B312" t="str">
        <f>VLOOKUP(Tb_prod[[#This Row],[Región]],AUX_REGION[],2,0)</f>
        <v>Minera Romero</v>
      </c>
      <c r="C312" t="s">
        <v>21</v>
      </c>
      <c r="D312" t="s">
        <v>23</v>
      </c>
      <c r="E312" t="s">
        <v>19</v>
      </c>
      <c r="F312" t="s">
        <v>26</v>
      </c>
      <c r="G312" t="s">
        <v>22</v>
      </c>
      <c r="H312" s="23">
        <v>1085.24</v>
      </c>
      <c r="I312" s="23">
        <v>1707.95</v>
      </c>
      <c r="J312" s="23">
        <v>53067.77</v>
      </c>
      <c r="K312" s="23">
        <v>1227.3</v>
      </c>
      <c r="L312" s="10">
        <v>44201422980</v>
      </c>
      <c r="M312" s="9">
        <v>84741165720</v>
      </c>
      <c r="N312" s="12">
        <f xml:space="preserve"> Tb_prod[[#This Row],[Costo_Mantenimiento_CLP]] / Tb_prod[[#This Row],[Dias_Operación_Mes]]</f>
        <v>1841725957.5</v>
      </c>
      <c r="O312" s="11">
        <f>Tb_prod[[#This Row],[Costo_Operativo_CLP]] / Tb_prod[[#This Row],[Producción_Toneladas]]</f>
        <v>78085184.585898057</v>
      </c>
      <c r="P312">
        <v>62</v>
      </c>
      <c r="Q312">
        <v>24</v>
      </c>
      <c r="R312" s="6">
        <v>44977</v>
      </c>
      <c r="S312" t="str">
        <f t="shared" si="8"/>
        <v>lunes</v>
      </c>
      <c r="T312" t="str">
        <f t="shared" si="9"/>
        <v>febrero</v>
      </c>
      <c r="U312">
        <v>78.069999999999993</v>
      </c>
      <c r="V312">
        <f xml:space="preserve"> Tb_prod[[#This Row],[Emisiones_CO2_ton]] / Tb_prod[[#This Row],[Cantidad_Empleados]]</f>
        <v>19.795161290322579</v>
      </c>
      <c r="W312" t="str">
        <f>IF(Tb_prod[[#This Row],[Recuperación_Metal_Porcentaje]]&gt;90,"Alta",IF(Tb_prod[[#This Row],[Recuperación_Metal_Porcentaje]]&gt;75,"Media","Baja"))</f>
        <v>Media</v>
      </c>
      <c r="X312" t="str">
        <f>IF(AND(Tb_prod[[#This Row],[Consumo_Energia_MWh]]&lt;=2000,Tb_prod[[#This Row],[Riesgo_Ambiental]]="Alto"),"Crítica","Normal")</f>
        <v>Normal</v>
      </c>
    </row>
    <row r="313" spans="1:24">
      <c r="A313">
        <v>199</v>
      </c>
      <c r="B313" t="str">
        <f>VLOOKUP(Tb_prod[[#This Row],[Región]],AUX_REGION[],2,0)</f>
        <v>Minera Staff</v>
      </c>
      <c r="C313" t="s">
        <v>17</v>
      </c>
      <c r="D313" t="s">
        <v>13</v>
      </c>
      <c r="E313" t="s">
        <v>19</v>
      </c>
      <c r="F313" t="s">
        <v>26</v>
      </c>
      <c r="G313" t="s">
        <v>16</v>
      </c>
      <c r="H313" s="23">
        <v>4139.17</v>
      </c>
      <c r="I313" s="23">
        <v>2886.88</v>
      </c>
      <c r="J313" s="23">
        <v>53089.16</v>
      </c>
      <c r="K313" s="23">
        <v>1099.04</v>
      </c>
      <c r="L313" s="10">
        <v>37123543530</v>
      </c>
      <c r="M313" s="9">
        <v>128421345510</v>
      </c>
      <c r="N313" s="12">
        <f xml:space="preserve"> Tb_prod[[#This Row],[Costo_Mantenimiento_CLP]] / Tb_prod[[#This Row],[Dias_Operación_Mes]]</f>
        <v>1614067110</v>
      </c>
      <c r="O313" s="11">
        <f>Tb_prod[[#This Row],[Costo_Operativo_CLP]] / Tb_prod[[#This Row],[Producción_Toneladas]]</f>
        <v>31025868.836022679</v>
      </c>
      <c r="P313">
        <v>180</v>
      </c>
      <c r="Q313">
        <v>23</v>
      </c>
      <c r="R313" s="6">
        <v>44980</v>
      </c>
      <c r="S313" t="str">
        <f t="shared" si="8"/>
        <v>jueves</v>
      </c>
      <c r="T313" t="str">
        <f t="shared" si="9"/>
        <v>febrero</v>
      </c>
      <c r="U313">
        <v>97.65</v>
      </c>
      <c r="V313">
        <f xml:space="preserve"> Tb_prod[[#This Row],[Emisiones_CO2_ton]] / Tb_prod[[#This Row],[Cantidad_Empleados]]</f>
        <v>6.105777777777778</v>
      </c>
      <c r="W313" t="str">
        <f>IF(Tb_prod[[#This Row],[Recuperación_Metal_Porcentaje]]&gt;90,"Alta",IF(Tb_prod[[#This Row],[Recuperación_Metal_Porcentaje]]&gt;75,"Media","Baja"))</f>
        <v>Alta</v>
      </c>
      <c r="X313" t="str">
        <f>IF(AND(Tb_prod[[#This Row],[Consumo_Energia_MWh]]&lt;=2000,Tb_prod[[#This Row],[Riesgo_Ambiental]]="Alto"),"Crítica","Normal")</f>
        <v>Normal</v>
      </c>
    </row>
    <row r="314" spans="1:24">
      <c r="A314">
        <v>263</v>
      </c>
      <c r="B314" t="str">
        <f>VLOOKUP(Tb_prod[[#This Row],[Región]],AUX_REGION[],2,0)</f>
        <v>Minera del Norte</v>
      </c>
      <c r="C314" t="s">
        <v>17</v>
      </c>
      <c r="D314" t="s">
        <v>18</v>
      </c>
      <c r="E314" t="s">
        <v>19</v>
      </c>
      <c r="F314" t="s">
        <v>26</v>
      </c>
      <c r="G314" t="s">
        <v>22</v>
      </c>
      <c r="H314" s="23">
        <v>4495.07</v>
      </c>
      <c r="I314" s="23">
        <v>1650.42</v>
      </c>
      <c r="J314" s="23">
        <v>53127.53</v>
      </c>
      <c r="K314" s="23">
        <v>1171.78</v>
      </c>
      <c r="L314" s="10">
        <v>26825430150</v>
      </c>
      <c r="M314" s="9">
        <v>23872878720</v>
      </c>
      <c r="N314" s="12">
        <f xml:space="preserve"> Tb_prod[[#This Row],[Costo_Mantenimiento_CLP]] / Tb_prod[[#This Row],[Dias_Operación_Mes]]</f>
        <v>1341271507.5</v>
      </c>
      <c r="O314" s="11">
        <f>Tb_prod[[#This Row],[Costo_Operativo_CLP]] / Tb_prod[[#This Row],[Producción_Toneladas]]</f>
        <v>5310902.5487923436</v>
      </c>
      <c r="P314">
        <v>121</v>
      </c>
      <c r="Q314">
        <v>20</v>
      </c>
      <c r="R314" s="6">
        <v>45612</v>
      </c>
      <c r="S314" t="str">
        <f t="shared" si="8"/>
        <v>sábado</v>
      </c>
      <c r="T314" t="str">
        <f t="shared" si="9"/>
        <v>noviembre</v>
      </c>
      <c r="U314">
        <v>93.11</v>
      </c>
      <c r="V314">
        <f xml:space="preserve"> Tb_prod[[#This Row],[Emisiones_CO2_ton]] / Tb_prod[[#This Row],[Cantidad_Empleados]]</f>
        <v>9.6841322314049592</v>
      </c>
      <c r="W314" t="str">
        <f>IF(Tb_prod[[#This Row],[Recuperación_Metal_Porcentaje]]&gt;90,"Alta",IF(Tb_prod[[#This Row],[Recuperación_Metal_Porcentaje]]&gt;75,"Media","Baja"))</f>
        <v>Alta</v>
      </c>
      <c r="X314" t="str">
        <f>IF(AND(Tb_prod[[#This Row],[Consumo_Energia_MWh]]&lt;=2000,Tb_prod[[#This Row],[Riesgo_Ambiental]]="Alto"),"Crítica","Normal")</f>
        <v>Normal</v>
      </c>
    </row>
    <row r="315" spans="1:24">
      <c r="A315">
        <v>3</v>
      </c>
      <c r="B315" t="str">
        <f>VLOOKUP(Tb_prod[[#This Row],[Región]],AUX_REGION[],2,0)</f>
        <v>Minera Staff</v>
      </c>
      <c r="C315" t="s">
        <v>21</v>
      </c>
      <c r="D315" t="s">
        <v>13</v>
      </c>
      <c r="E315" t="s">
        <v>19</v>
      </c>
      <c r="F315" t="s">
        <v>15</v>
      </c>
      <c r="G315" t="s">
        <v>22</v>
      </c>
      <c r="H315" s="23">
        <v>3152.06</v>
      </c>
      <c r="I315" s="23">
        <v>1803.9</v>
      </c>
      <c r="J315" s="23">
        <v>53158.44</v>
      </c>
      <c r="K315" s="23">
        <v>805.05</v>
      </c>
      <c r="L315" s="10">
        <v>78723259782656.297</v>
      </c>
      <c r="M315" s="9">
        <v>105799355100</v>
      </c>
      <c r="N315" s="12">
        <f xml:space="preserve"> Tb_prod[[#This Row],[Costo_Mantenimiento_CLP]] / Tb_prod[[#This Row],[Dias_Operación_Mes]]</f>
        <v>3422750425332.8823</v>
      </c>
      <c r="O315" s="11">
        <f>Tb_prod[[#This Row],[Costo_Operativo_CLP]] / Tb_prod[[#This Row],[Producción_Toneladas]]</f>
        <v>33565146.317011729</v>
      </c>
      <c r="P315">
        <v>272</v>
      </c>
      <c r="Q315">
        <v>23</v>
      </c>
      <c r="R315" s="6">
        <v>45048</v>
      </c>
      <c r="S315" t="e">
        <f>#REF!</f>
        <v>#REF!</v>
      </c>
      <c r="T315" t="str">
        <f t="shared" si="9"/>
        <v>mayo</v>
      </c>
      <c r="U315">
        <v>92.33</v>
      </c>
      <c r="V315">
        <f xml:space="preserve"> Tb_prod[[#This Row],[Emisiones_CO2_ton]] / Tb_prod[[#This Row],[Cantidad_Empleados]]</f>
        <v>2.9597426470588233</v>
      </c>
      <c r="W315" t="str">
        <f>IF(Tb_prod[[#This Row],[Recuperación_Metal_Porcentaje]]&gt;90,"Alta",IF(Tb_prod[[#This Row],[Recuperación_Metal_Porcentaje]]&gt;75,"Media","Baja"))</f>
        <v>Alta</v>
      </c>
      <c r="X315" t="str">
        <f>IF(AND(Tb_prod[[#This Row],[Consumo_Energia_MWh]]&lt;=2000,Tb_prod[[#This Row],[Riesgo_Ambiental]]="Alto"),"Crítica","Normal")</f>
        <v>Normal</v>
      </c>
    </row>
    <row r="316" spans="1:24">
      <c r="A316">
        <v>173</v>
      </c>
      <c r="B316" t="str">
        <f>VLOOKUP(Tb_prod[[#This Row],[Región]],AUX_REGION[],2,0)</f>
        <v>Minera Staff</v>
      </c>
      <c r="C316" t="s">
        <v>25</v>
      </c>
      <c r="D316" t="s">
        <v>13</v>
      </c>
      <c r="E316" t="s">
        <v>14</v>
      </c>
      <c r="F316" t="s">
        <v>24</v>
      </c>
      <c r="G316" t="s">
        <v>22</v>
      </c>
      <c r="H316" s="23">
        <v>3914.84</v>
      </c>
      <c r="I316" s="23">
        <v>1331.31</v>
      </c>
      <c r="J316" s="23">
        <v>53182.38</v>
      </c>
      <c r="K316" s="23">
        <v>1365.85</v>
      </c>
      <c r="L316" s="10">
        <v>40071067560</v>
      </c>
      <c r="M316" s="9">
        <v>92290203000</v>
      </c>
      <c r="N316" s="12">
        <f xml:space="preserve"> Tb_prod[[#This Row],[Costo_Mantenimiento_CLP]] / Tb_prod[[#This Row],[Dias_Operación_Mes]]</f>
        <v>1908146074.2857144</v>
      </c>
      <c r="O316" s="11">
        <f>Tb_prod[[#This Row],[Costo_Operativo_CLP]] / Tb_prod[[#This Row],[Producción_Toneladas]]</f>
        <v>23574450.807695843</v>
      </c>
      <c r="P316">
        <v>278</v>
      </c>
      <c r="Q316">
        <v>21</v>
      </c>
      <c r="R316" s="6">
        <v>45790</v>
      </c>
      <c r="S316" t="str">
        <f t="shared" ref="S316:S347" si="10">TEXT(R316,"dddd")</f>
        <v>martes</v>
      </c>
      <c r="T316" t="str">
        <f t="shared" si="9"/>
        <v>mayo</v>
      </c>
      <c r="U316">
        <v>72.34</v>
      </c>
      <c r="V316">
        <f xml:space="preserve"> Tb_prod[[#This Row],[Emisiones_CO2_ton]] / Tb_prod[[#This Row],[Cantidad_Empleados]]</f>
        <v>4.9131294964028775</v>
      </c>
      <c r="W316" t="str">
        <f>IF(Tb_prod[[#This Row],[Recuperación_Metal_Porcentaje]]&gt;90,"Alta",IF(Tb_prod[[#This Row],[Recuperación_Metal_Porcentaje]]&gt;75,"Media","Baja"))</f>
        <v>Baja</v>
      </c>
      <c r="X316" t="str">
        <f>IF(AND(Tb_prod[[#This Row],[Consumo_Energia_MWh]]&lt;=2000,Tb_prod[[#This Row],[Riesgo_Ambiental]]="Alto"),"Crítica","Normal")</f>
        <v>Normal</v>
      </c>
    </row>
    <row r="317" spans="1:24">
      <c r="A317">
        <v>347</v>
      </c>
      <c r="B317" t="str">
        <f>VLOOKUP(Tb_prod[[#This Row],[Región]],AUX_REGION[],2,0)</f>
        <v>Minera Staff</v>
      </c>
      <c r="C317" t="s">
        <v>21</v>
      </c>
      <c r="D317" t="s">
        <v>13</v>
      </c>
      <c r="E317" t="s">
        <v>19</v>
      </c>
      <c r="F317" t="s">
        <v>15</v>
      </c>
      <c r="G317" t="s">
        <v>22</v>
      </c>
      <c r="H317" s="23">
        <v>5899.99</v>
      </c>
      <c r="I317" s="23">
        <v>1818.65</v>
      </c>
      <c r="J317" s="23">
        <v>53227.56</v>
      </c>
      <c r="K317" s="23">
        <v>1094.72</v>
      </c>
      <c r="L317" s="10">
        <v>17085975570</v>
      </c>
      <c r="M317" s="9">
        <v>1752868014420</v>
      </c>
      <c r="N317" s="12">
        <f xml:space="preserve"> Tb_prod[[#This Row],[Costo_Mantenimiento_CLP]] / Tb_prod[[#This Row],[Dias_Operación_Mes]]</f>
        <v>742868503.04347825</v>
      </c>
      <c r="O317" s="11">
        <f>Tb_prod[[#This Row],[Costo_Operativo_CLP]] / Tb_prod[[#This Row],[Producción_Toneladas]]</f>
        <v>297096777.18436813</v>
      </c>
      <c r="P317">
        <v>220</v>
      </c>
      <c r="Q317">
        <v>23</v>
      </c>
      <c r="R317" s="6">
        <v>45884</v>
      </c>
      <c r="S317" t="str">
        <f t="shared" si="10"/>
        <v>viernes</v>
      </c>
      <c r="T317" t="str">
        <f t="shared" si="9"/>
        <v>agosto</v>
      </c>
      <c r="U317">
        <v>94.63</v>
      </c>
      <c r="V317">
        <f xml:space="preserve"> Tb_prod[[#This Row],[Emisiones_CO2_ton]] / Tb_prod[[#This Row],[Cantidad_Empleados]]</f>
        <v>4.976</v>
      </c>
      <c r="W317" t="str">
        <f>IF(Tb_prod[[#This Row],[Recuperación_Metal_Porcentaje]]&gt;90,"Alta",IF(Tb_prod[[#This Row],[Recuperación_Metal_Porcentaje]]&gt;75,"Media","Baja"))</f>
        <v>Alta</v>
      </c>
      <c r="X317" t="str">
        <f>IF(AND(Tb_prod[[#This Row],[Consumo_Energia_MWh]]&lt;=2000,Tb_prod[[#This Row],[Riesgo_Ambiental]]="Alto"),"Crítica","Normal")</f>
        <v>Normal</v>
      </c>
    </row>
    <row r="318" spans="1:24">
      <c r="A318">
        <v>384</v>
      </c>
      <c r="B318" t="str">
        <f>VLOOKUP(Tb_prod[[#This Row],[Región]],AUX_REGION[],2,0)</f>
        <v>Minera del Norte</v>
      </c>
      <c r="C318" t="s">
        <v>12</v>
      </c>
      <c r="D318" t="s">
        <v>18</v>
      </c>
      <c r="E318" t="s">
        <v>19</v>
      </c>
      <c r="F318" t="s">
        <v>26</v>
      </c>
      <c r="G318" t="s">
        <v>16</v>
      </c>
      <c r="H318" s="23">
        <v>6607.1</v>
      </c>
      <c r="I318" s="23">
        <v>2574.11</v>
      </c>
      <c r="J318" s="23">
        <v>53441.51</v>
      </c>
      <c r="K318" s="23">
        <v>675.48</v>
      </c>
      <c r="L318" s="10">
        <v>26842654080</v>
      </c>
      <c r="M318" s="9">
        <v>77443244190</v>
      </c>
      <c r="N318" s="12">
        <f xml:space="preserve"> Tb_prod[[#This Row],[Costo_Mantenimiento_CLP]] / Tb_prod[[#This Row],[Dias_Operación_Mes]]</f>
        <v>1032409772.3076923</v>
      </c>
      <c r="O318" s="11">
        <f>Tb_prod[[#This Row],[Costo_Operativo_CLP]] / Tb_prod[[#This Row],[Producción_Toneladas]]</f>
        <v>11721215.690696372</v>
      </c>
      <c r="P318">
        <v>66</v>
      </c>
      <c r="Q318">
        <v>26</v>
      </c>
      <c r="R318" s="6">
        <v>45653</v>
      </c>
      <c r="S318" t="str">
        <f t="shared" si="10"/>
        <v>viernes</v>
      </c>
      <c r="T318" t="str">
        <f t="shared" si="9"/>
        <v>diciembre</v>
      </c>
      <c r="U318">
        <v>70.290000000000006</v>
      </c>
      <c r="V318">
        <f xml:space="preserve"> Tb_prod[[#This Row],[Emisiones_CO2_ton]] / Tb_prod[[#This Row],[Cantidad_Empleados]]</f>
        <v>10.234545454545454</v>
      </c>
      <c r="W318" t="str">
        <f>IF(Tb_prod[[#This Row],[Recuperación_Metal_Porcentaje]]&gt;90,"Alta",IF(Tb_prod[[#This Row],[Recuperación_Metal_Porcentaje]]&gt;75,"Media","Baja"))</f>
        <v>Baja</v>
      </c>
      <c r="X318" t="str">
        <f>IF(AND(Tb_prod[[#This Row],[Consumo_Energia_MWh]]&lt;=2000,Tb_prod[[#This Row],[Riesgo_Ambiental]]="Alto"),"Crítica","Normal")</f>
        <v>Normal</v>
      </c>
    </row>
    <row r="319" spans="1:24">
      <c r="A319">
        <v>44</v>
      </c>
      <c r="B319" t="str">
        <f>VLOOKUP(Tb_prod[[#This Row],[Región]],AUX_REGION[],2,0)</f>
        <v>Minera del Norte</v>
      </c>
      <c r="C319" t="s">
        <v>25</v>
      </c>
      <c r="D319" t="s">
        <v>18</v>
      </c>
      <c r="E319" t="s">
        <v>14</v>
      </c>
      <c r="F319" t="s">
        <v>24</v>
      </c>
      <c r="G319" t="s">
        <v>20</v>
      </c>
      <c r="H319" s="23">
        <v>5510.1</v>
      </c>
      <c r="I319" s="23">
        <v>1686.56</v>
      </c>
      <c r="J319" s="23">
        <v>53486.53</v>
      </c>
      <c r="K319" s="23">
        <v>1134.58</v>
      </c>
      <c r="L319" s="10">
        <v>3767700870</v>
      </c>
      <c r="M319" s="9">
        <v>16933232160</v>
      </c>
      <c r="N319" s="12">
        <f xml:space="preserve"> Tb_prod[[#This Row],[Costo_Mantenimiento_CLP]] / Tb_prod[[#This Row],[Dias_Operación_Mes]]</f>
        <v>156987536.25</v>
      </c>
      <c r="O319" s="11">
        <f>Tb_prod[[#This Row],[Costo_Operativo_CLP]] / Tb_prod[[#This Row],[Producción_Toneladas]]</f>
        <v>3073126.1066042357</v>
      </c>
      <c r="P319">
        <v>86</v>
      </c>
      <c r="Q319">
        <v>24</v>
      </c>
      <c r="R319" s="6">
        <v>45882</v>
      </c>
      <c r="S319" t="str">
        <f t="shared" si="10"/>
        <v>miércoles</v>
      </c>
      <c r="T319" t="str">
        <f t="shared" si="9"/>
        <v>agosto</v>
      </c>
      <c r="U319">
        <v>95.84</v>
      </c>
      <c r="V319">
        <f xml:space="preserve"> Tb_prod[[#This Row],[Emisiones_CO2_ton]] / Tb_prod[[#This Row],[Cantidad_Empleados]]</f>
        <v>13.192790697674418</v>
      </c>
      <c r="W319" t="str">
        <f>IF(Tb_prod[[#This Row],[Recuperación_Metal_Porcentaje]]&gt;90,"Alta",IF(Tb_prod[[#This Row],[Recuperación_Metal_Porcentaje]]&gt;75,"Media","Baja"))</f>
        <v>Alta</v>
      </c>
      <c r="X319" t="str">
        <f>IF(AND(Tb_prod[[#This Row],[Consumo_Energia_MWh]]&lt;=2000,Tb_prod[[#This Row],[Riesgo_Ambiental]]="Alto"),"Crítica","Normal")</f>
        <v>Crítica</v>
      </c>
    </row>
    <row r="320" spans="1:24">
      <c r="A320">
        <v>81</v>
      </c>
      <c r="B320" t="str">
        <f>VLOOKUP(Tb_prod[[#This Row],[Región]],AUX_REGION[],2,0)</f>
        <v>Minera Romero</v>
      </c>
      <c r="C320" t="s">
        <v>17</v>
      </c>
      <c r="D320" t="s">
        <v>23</v>
      </c>
      <c r="E320" t="s">
        <v>14</v>
      </c>
      <c r="F320" t="s">
        <v>15</v>
      </c>
      <c r="G320" t="s">
        <v>16</v>
      </c>
      <c r="H320" s="23">
        <v>3569.81</v>
      </c>
      <c r="I320" s="23">
        <v>2562.35</v>
      </c>
      <c r="J320" s="23">
        <v>53488.89</v>
      </c>
      <c r="K320" s="23">
        <v>1290.25</v>
      </c>
      <c r="L320" s="10">
        <v>19108771470</v>
      </c>
      <c r="M320" s="9">
        <v>77586067350</v>
      </c>
      <c r="N320" s="12">
        <f xml:space="preserve"> Tb_prod[[#This Row],[Costo_Mantenimiento_CLP]] / Tb_prod[[#This Row],[Dias_Operación_Mes]]</f>
        <v>764350858.79999995</v>
      </c>
      <c r="O320" s="11">
        <f>Tb_prod[[#This Row],[Costo_Operativo_CLP]] / Tb_prod[[#This Row],[Producción_Toneladas]]</f>
        <v>21733948.68354338</v>
      </c>
      <c r="P320">
        <v>176</v>
      </c>
      <c r="Q320">
        <v>25</v>
      </c>
      <c r="R320" s="6">
        <v>45987</v>
      </c>
      <c r="S320" t="str">
        <f t="shared" si="10"/>
        <v>miércoles</v>
      </c>
      <c r="T320" t="str">
        <f t="shared" si="9"/>
        <v>noviembre</v>
      </c>
      <c r="U320">
        <v>72.010000000000005</v>
      </c>
      <c r="V320">
        <f xml:space="preserve"> Tb_prod[[#This Row],[Emisiones_CO2_ton]] / Tb_prod[[#This Row],[Cantidad_Empleados]]</f>
        <v>7.3309659090909092</v>
      </c>
      <c r="W320" t="str">
        <f>IF(Tb_prod[[#This Row],[Recuperación_Metal_Porcentaje]]&gt;90,"Alta",IF(Tb_prod[[#This Row],[Recuperación_Metal_Porcentaje]]&gt;75,"Media","Baja"))</f>
        <v>Baja</v>
      </c>
      <c r="X320" t="str">
        <f>IF(AND(Tb_prod[[#This Row],[Consumo_Energia_MWh]]&lt;=2000,Tb_prod[[#This Row],[Riesgo_Ambiental]]="Alto"),"Crítica","Normal")</f>
        <v>Normal</v>
      </c>
    </row>
    <row r="321" spans="1:24">
      <c r="A321">
        <v>362</v>
      </c>
      <c r="B321" t="str">
        <f>VLOOKUP(Tb_prod[[#This Row],[Región]],AUX_REGION[],2,0)</f>
        <v>Minera Romero</v>
      </c>
      <c r="C321" t="s">
        <v>12</v>
      </c>
      <c r="D321" t="s">
        <v>23</v>
      </c>
      <c r="E321" t="s">
        <v>19</v>
      </c>
      <c r="F321" t="s">
        <v>24</v>
      </c>
      <c r="G321" t="s">
        <v>22</v>
      </c>
      <c r="H321" s="23">
        <v>7723.06</v>
      </c>
      <c r="I321" s="23">
        <v>2383.27</v>
      </c>
      <c r="J321" s="23">
        <v>53578.400000000001</v>
      </c>
      <c r="K321" s="23">
        <v>1392.25</v>
      </c>
      <c r="L321" s="10">
        <v>15551288550</v>
      </c>
      <c r="M321" s="9">
        <v>1847755257540</v>
      </c>
      <c r="N321" s="12">
        <f xml:space="preserve"> Tb_prod[[#This Row],[Costo_Mantenimiento_CLP]] / Tb_prod[[#This Row],[Dias_Operación_Mes]]</f>
        <v>706876752.27272725</v>
      </c>
      <c r="O321" s="11">
        <f>Tb_prod[[#This Row],[Costo_Operativo_CLP]] / Tb_prod[[#This Row],[Producción_Toneladas]]</f>
        <v>239251703.0218592</v>
      </c>
      <c r="P321">
        <v>151</v>
      </c>
      <c r="Q321">
        <v>22</v>
      </c>
      <c r="R321" s="6">
        <v>45943</v>
      </c>
      <c r="S321" t="str">
        <f t="shared" si="10"/>
        <v>lunes</v>
      </c>
      <c r="T321" t="str">
        <f t="shared" si="9"/>
        <v>octubre</v>
      </c>
      <c r="U321">
        <v>84.66</v>
      </c>
      <c r="V321">
        <f xml:space="preserve"> Tb_prod[[#This Row],[Emisiones_CO2_ton]] / Tb_prod[[#This Row],[Cantidad_Empleados]]</f>
        <v>9.2201986754966896</v>
      </c>
      <c r="W321" t="str">
        <f>IF(Tb_prod[[#This Row],[Recuperación_Metal_Porcentaje]]&gt;90,"Alta",IF(Tb_prod[[#This Row],[Recuperación_Metal_Porcentaje]]&gt;75,"Media","Baja"))</f>
        <v>Media</v>
      </c>
      <c r="X321" t="str">
        <f>IF(AND(Tb_prod[[#This Row],[Consumo_Energia_MWh]]&lt;=2000,Tb_prod[[#This Row],[Riesgo_Ambiental]]="Alto"),"Crítica","Normal")</f>
        <v>Normal</v>
      </c>
    </row>
    <row r="322" spans="1:24">
      <c r="A322">
        <v>264</v>
      </c>
      <c r="B322" t="str">
        <f>VLOOKUP(Tb_prod[[#This Row],[Región]],AUX_REGION[],2,0)</f>
        <v>Minera Staff</v>
      </c>
      <c r="C322" t="s">
        <v>27</v>
      </c>
      <c r="D322" t="s">
        <v>13</v>
      </c>
      <c r="E322" t="s">
        <v>19</v>
      </c>
      <c r="F322" t="s">
        <v>26</v>
      </c>
      <c r="G322" t="s">
        <v>20</v>
      </c>
      <c r="H322" s="23">
        <v>5527.63</v>
      </c>
      <c r="I322" s="23">
        <v>1897.25</v>
      </c>
      <c r="J322" s="23">
        <v>53583.85</v>
      </c>
      <c r="K322" s="23">
        <v>1104.6099999999999</v>
      </c>
      <c r="L322" s="10">
        <v>3494843640</v>
      </c>
      <c r="M322" s="9">
        <v>62727188670</v>
      </c>
      <c r="N322" s="12">
        <f xml:space="preserve"> Tb_prod[[#This Row],[Costo_Mantenimiento_CLP]] / Tb_prod[[#This Row],[Dias_Operación_Mes]]</f>
        <v>158856529.09090909</v>
      </c>
      <c r="O322" s="11">
        <f>Tb_prod[[#This Row],[Costo_Operativo_CLP]] / Tb_prod[[#This Row],[Producción_Toneladas]]</f>
        <v>11347935.493149867</v>
      </c>
      <c r="P322">
        <v>57</v>
      </c>
      <c r="Q322">
        <v>22</v>
      </c>
      <c r="R322" s="6">
        <v>45552</v>
      </c>
      <c r="S322" t="str">
        <f t="shared" si="10"/>
        <v>martes</v>
      </c>
      <c r="T322" t="str">
        <f t="shared" ref="T322:T385" si="11">TEXT(R322,"mmmm")</f>
        <v>septiembre</v>
      </c>
      <c r="U322">
        <v>79.89</v>
      </c>
      <c r="V322">
        <f xml:space="preserve"> Tb_prod[[#This Row],[Emisiones_CO2_ton]] / Tb_prod[[#This Row],[Cantidad_Empleados]]</f>
        <v>19.379122807017541</v>
      </c>
      <c r="W322" t="str">
        <f>IF(Tb_prod[[#This Row],[Recuperación_Metal_Porcentaje]]&gt;90,"Alta",IF(Tb_prod[[#This Row],[Recuperación_Metal_Porcentaje]]&gt;75,"Media","Baja"))</f>
        <v>Media</v>
      </c>
      <c r="X322" t="str">
        <f>IF(AND(Tb_prod[[#This Row],[Consumo_Energia_MWh]]&lt;=2000,Tb_prod[[#This Row],[Riesgo_Ambiental]]="Alto"),"Crítica","Normal")</f>
        <v>Crítica</v>
      </c>
    </row>
    <row r="323" spans="1:24">
      <c r="A323">
        <v>398</v>
      </c>
      <c r="B323" t="str">
        <f>VLOOKUP(Tb_prod[[#This Row],[Región]],AUX_REGION[],2,0)</f>
        <v>Minera del Norte</v>
      </c>
      <c r="C323" t="s">
        <v>21</v>
      </c>
      <c r="D323" t="s">
        <v>18</v>
      </c>
      <c r="E323" t="s">
        <v>19</v>
      </c>
      <c r="F323" t="s">
        <v>24</v>
      </c>
      <c r="G323" t="s">
        <v>20</v>
      </c>
      <c r="H323" s="23">
        <v>3227.91</v>
      </c>
      <c r="I323" s="23">
        <v>2566.5700000000002</v>
      </c>
      <c r="J323" s="23">
        <v>53836.81</v>
      </c>
      <c r="K323" s="23">
        <v>1149</v>
      </c>
      <c r="L323" s="10">
        <v>17797373730</v>
      </c>
      <c r="M323" s="9">
        <v>16013615760</v>
      </c>
      <c r="N323" s="12">
        <f xml:space="preserve"> Tb_prod[[#This Row],[Costo_Mantenimiento_CLP]] / Tb_prod[[#This Row],[Dias_Operación_Mes]]</f>
        <v>808971533.18181813</v>
      </c>
      <c r="O323" s="11">
        <f>Tb_prod[[#This Row],[Costo_Operativo_CLP]] / Tb_prod[[#This Row],[Producción_Toneladas]]</f>
        <v>4960985.8267423818</v>
      </c>
      <c r="P323">
        <v>267</v>
      </c>
      <c r="Q323">
        <v>22</v>
      </c>
      <c r="R323" s="6">
        <v>45687</v>
      </c>
      <c r="S323" t="str">
        <f t="shared" si="10"/>
        <v>jueves</v>
      </c>
      <c r="T323" t="str">
        <f t="shared" si="11"/>
        <v>enero</v>
      </c>
      <c r="U323">
        <v>72.680000000000007</v>
      </c>
      <c r="V323">
        <f xml:space="preserve"> Tb_prod[[#This Row],[Emisiones_CO2_ton]] / Tb_prod[[#This Row],[Cantidad_Empleados]]</f>
        <v>4.3033707865168536</v>
      </c>
      <c r="W323" t="str">
        <f>IF(Tb_prod[[#This Row],[Recuperación_Metal_Porcentaje]]&gt;90,"Alta",IF(Tb_prod[[#This Row],[Recuperación_Metal_Porcentaje]]&gt;75,"Media","Baja"))</f>
        <v>Baja</v>
      </c>
      <c r="X323" t="str">
        <f>IF(AND(Tb_prod[[#This Row],[Consumo_Energia_MWh]]&lt;=2000,Tb_prod[[#This Row],[Riesgo_Ambiental]]="Alto"),"Crítica","Normal")</f>
        <v>Normal</v>
      </c>
    </row>
    <row r="324" spans="1:24">
      <c r="A324">
        <v>94</v>
      </c>
      <c r="B324" t="str">
        <f>VLOOKUP(Tb_prod[[#This Row],[Región]],AUX_REGION[],2,0)</f>
        <v>Minera del Norte</v>
      </c>
      <c r="C324" t="s">
        <v>21</v>
      </c>
      <c r="D324" t="s">
        <v>18</v>
      </c>
      <c r="E324" t="s">
        <v>19</v>
      </c>
      <c r="F324" t="s">
        <v>24</v>
      </c>
      <c r="G324" t="s">
        <v>20</v>
      </c>
      <c r="H324" s="23">
        <v>5762.28</v>
      </c>
      <c r="I324" s="23">
        <v>2807.24</v>
      </c>
      <c r="J324" s="23">
        <v>53868.99</v>
      </c>
      <c r="K324" s="23">
        <v>615.96</v>
      </c>
      <c r="L324" s="10">
        <v>22242531150</v>
      </c>
      <c r="M324" s="9">
        <v>174510367650</v>
      </c>
      <c r="N324" s="12">
        <f xml:space="preserve"> Tb_prod[[#This Row],[Costo_Mantenimiento_CLP]] / Tb_prod[[#This Row],[Dias_Operación_Mes]]</f>
        <v>889701246</v>
      </c>
      <c r="O324" s="11">
        <f>Tb_prod[[#This Row],[Costo_Operativo_CLP]] / Tb_prod[[#This Row],[Producción_Toneladas]]</f>
        <v>30284951.035006978</v>
      </c>
      <c r="P324">
        <v>241</v>
      </c>
      <c r="Q324">
        <v>25</v>
      </c>
      <c r="R324" s="6">
        <v>45429</v>
      </c>
      <c r="S324" t="str">
        <f t="shared" si="10"/>
        <v>viernes</v>
      </c>
      <c r="T324" t="str">
        <f t="shared" si="11"/>
        <v>mayo</v>
      </c>
      <c r="U324">
        <v>73.790000000000006</v>
      </c>
      <c r="V324">
        <f xml:space="preserve"> Tb_prod[[#This Row],[Emisiones_CO2_ton]] / Tb_prod[[#This Row],[Cantidad_Empleados]]</f>
        <v>2.5558506224066391</v>
      </c>
      <c r="W324" t="str">
        <f>IF(Tb_prod[[#This Row],[Recuperación_Metal_Porcentaje]]&gt;90,"Alta",IF(Tb_prod[[#This Row],[Recuperación_Metal_Porcentaje]]&gt;75,"Media","Baja"))</f>
        <v>Baja</v>
      </c>
      <c r="X324" t="str">
        <f>IF(AND(Tb_prod[[#This Row],[Consumo_Energia_MWh]]&lt;=2000,Tb_prod[[#This Row],[Riesgo_Ambiental]]="Alto"),"Crítica","Normal")</f>
        <v>Normal</v>
      </c>
    </row>
    <row r="325" spans="1:24">
      <c r="A325">
        <v>376</v>
      </c>
      <c r="B325" t="str">
        <f>VLOOKUP(Tb_prod[[#This Row],[Región]],AUX_REGION[],2,0)</f>
        <v>Minera del Norte</v>
      </c>
      <c r="C325" t="s">
        <v>21</v>
      </c>
      <c r="D325" t="s">
        <v>18</v>
      </c>
      <c r="E325" t="s">
        <v>14</v>
      </c>
      <c r="F325" t="s">
        <v>15</v>
      </c>
      <c r="G325" t="s">
        <v>20</v>
      </c>
      <c r="H325" s="23">
        <v>4412.8599999999997</v>
      </c>
      <c r="I325" s="23">
        <v>1842.33</v>
      </c>
      <c r="J325" s="23">
        <v>53921.17</v>
      </c>
      <c r="K325" s="23">
        <v>471.83</v>
      </c>
      <c r="L325" s="10">
        <v>1400896180738.8899</v>
      </c>
      <c r="M325" s="9">
        <v>57892656330</v>
      </c>
      <c r="N325" s="12">
        <f xml:space="preserve"> Tb_prod[[#This Row],[Costo_Mantenimiento_CLP]] / Tb_prod[[#This Row],[Dias_Operación_Mes]]</f>
        <v>58370674197.453743</v>
      </c>
      <c r="O325" s="11">
        <f>Tb_prod[[#This Row],[Costo_Operativo_CLP]] / Tb_prod[[#This Row],[Producción_Toneladas]]</f>
        <v>13119078.404934669</v>
      </c>
      <c r="P325">
        <v>198</v>
      </c>
      <c r="Q325">
        <v>24</v>
      </c>
      <c r="R325" s="6">
        <v>45617</v>
      </c>
      <c r="S325" t="str">
        <f t="shared" si="10"/>
        <v>jueves</v>
      </c>
      <c r="T325" t="str">
        <f t="shared" si="11"/>
        <v>noviembre</v>
      </c>
      <c r="U325">
        <v>86.43</v>
      </c>
      <c r="V325">
        <f xml:space="preserve"> Tb_prod[[#This Row],[Emisiones_CO2_ton]] / Tb_prod[[#This Row],[Cantidad_Empleados]]</f>
        <v>2.382979797979798</v>
      </c>
      <c r="W325" t="str">
        <f>IF(Tb_prod[[#This Row],[Recuperación_Metal_Porcentaje]]&gt;90,"Alta",IF(Tb_prod[[#This Row],[Recuperación_Metal_Porcentaje]]&gt;75,"Media","Baja"))</f>
        <v>Media</v>
      </c>
      <c r="X325" t="str">
        <f>IF(AND(Tb_prod[[#This Row],[Consumo_Energia_MWh]]&lt;=2000,Tb_prod[[#This Row],[Riesgo_Ambiental]]="Alto"),"Crítica","Normal")</f>
        <v>Crítica</v>
      </c>
    </row>
    <row r="326" spans="1:24">
      <c r="A326">
        <v>74</v>
      </c>
      <c r="B326" t="str">
        <f>VLOOKUP(Tb_prod[[#This Row],[Región]],AUX_REGION[],2,0)</f>
        <v>Minera Romero</v>
      </c>
      <c r="C326" t="s">
        <v>25</v>
      </c>
      <c r="D326" t="s">
        <v>23</v>
      </c>
      <c r="E326" t="s">
        <v>19</v>
      </c>
      <c r="F326" t="s">
        <v>26</v>
      </c>
      <c r="G326" t="s">
        <v>16</v>
      </c>
      <c r="H326" s="23">
        <v>4797.99</v>
      </c>
      <c r="I326" s="23">
        <v>1940.42</v>
      </c>
      <c r="J326" s="23">
        <v>54073.23</v>
      </c>
      <c r="K326" s="23">
        <v>803.52</v>
      </c>
      <c r="L326" s="10">
        <v>43035893550</v>
      </c>
      <c r="M326" s="9">
        <v>52741132020</v>
      </c>
      <c r="N326" s="12">
        <f xml:space="preserve"> Tb_prod[[#This Row],[Costo_Mantenimiento_CLP]] / Tb_prod[[#This Row],[Dias_Operación_Mes]]</f>
        <v>1536996198.2142856</v>
      </c>
      <c r="O326" s="11">
        <f>Tb_prod[[#This Row],[Costo_Operativo_CLP]] / Tb_prod[[#This Row],[Producción_Toneladas]]</f>
        <v>10992338.879405752</v>
      </c>
      <c r="P326">
        <v>53</v>
      </c>
      <c r="Q326">
        <v>28</v>
      </c>
      <c r="R326" s="6">
        <v>45787</v>
      </c>
      <c r="S326" t="str">
        <f t="shared" si="10"/>
        <v>sábado</v>
      </c>
      <c r="T326" t="str">
        <f t="shared" si="11"/>
        <v>mayo</v>
      </c>
      <c r="U326">
        <v>95.46</v>
      </c>
      <c r="V326">
        <f xml:space="preserve"> Tb_prod[[#This Row],[Emisiones_CO2_ton]] / Tb_prod[[#This Row],[Cantidad_Empleados]]</f>
        <v>15.160754716981131</v>
      </c>
      <c r="W326" t="str">
        <f>IF(Tb_prod[[#This Row],[Recuperación_Metal_Porcentaje]]&gt;90,"Alta",IF(Tb_prod[[#This Row],[Recuperación_Metal_Porcentaje]]&gt;75,"Media","Baja"))</f>
        <v>Alta</v>
      </c>
      <c r="X326" t="str">
        <f>IF(AND(Tb_prod[[#This Row],[Consumo_Energia_MWh]]&lt;=2000,Tb_prod[[#This Row],[Riesgo_Ambiental]]="Alto"),"Crítica","Normal")</f>
        <v>Normal</v>
      </c>
    </row>
    <row r="327" spans="1:24">
      <c r="A327">
        <v>392</v>
      </c>
      <c r="B327" t="str">
        <f>VLOOKUP(Tb_prod[[#This Row],[Región]],AUX_REGION[],2,0)</f>
        <v>Minera Staff</v>
      </c>
      <c r="C327" t="s">
        <v>17</v>
      </c>
      <c r="D327" t="s">
        <v>13</v>
      </c>
      <c r="E327" t="s">
        <v>19</v>
      </c>
      <c r="F327" t="s">
        <v>24</v>
      </c>
      <c r="G327" t="s">
        <v>22</v>
      </c>
      <c r="H327" s="23">
        <v>3426.49</v>
      </c>
      <c r="I327" s="23">
        <v>1230.0899999999999</v>
      </c>
      <c r="J327" s="23">
        <v>54092.46</v>
      </c>
      <c r="K327" s="23">
        <v>1220.2</v>
      </c>
      <c r="L327" s="10">
        <v>32472758700</v>
      </c>
      <c r="M327" s="9">
        <v>170783631810</v>
      </c>
      <c r="N327" s="12">
        <f xml:space="preserve"> Tb_prod[[#This Row],[Costo_Mantenimiento_CLP]] / Tb_prod[[#This Row],[Dias_Operación_Mes]]</f>
        <v>1119750300</v>
      </c>
      <c r="O327" s="11">
        <f>Tb_prod[[#This Row],[Costo_Operativo_CLP]] / Tb_prod[[#This Row],[Producción_Toneladas]]</f>
        <v>49842150.950389467</v>
      </c>
      <c r="P327">
        <v>168</v>
      </c>
      <c r="Q327">
        <v>29</v>
      </c>
      <c r="R327" s="6">
        <v>45041</v>
      </c>
      <c r="S327" t="str">
        <f t="shared" si="10"/>
        <v>martes</v>
      </c>
      <c r="T327" t="str">
        <f t="shared" si="11"/>
        <v>abril</v>
      </c>
      <c r="U327">
        <v>81.3</v>
      </c>
      <c r="V327">
        <f xml:space="preserve"> Tb_prod[[#This Row],[Emisiones_CO2_ton]] / Tb_prod[[#This Row],[Cantidad_Empleados]]</f>
        <v>7.2630952380952385</v>
      </c>
      <c r="W327" t="str">
        <f>IF(Tb_prod[[#This Row],[Recuperación_Metal_Porcentaje]]&gt;90,"Alta",IF(Tb_prod[[#This Row],[Recuperación_Metal_Porcentaje]]&gt;75,"Media","Baja"))</f>
        <v>Media</v>
      </c>
      <c r="X327" t="str">
        <f>IF(AND(Tb_prod[[#This Row],[Consumo_Energia_MWh]]&lt;=2000,Tb_prod[[#This Row],[Riesgo_Ambiental]]="Alto"),"Crítica","Normal")</f>
        <v>Normal</v>
      </c>
    </row>
    <row r="328" spans="1:24">
      <c r="A328">
        <v>234</v>
      </c>
      <c r="B328" t="str">
        <f>VLOOKUP(Tb_prod[[#This Row],[Región]],AUX_REGION[],2,0)</f>
        <v>Minera del Norte</v>
      </c>
      <c r="C328" t="s">
        <v>12</v>
      </c>
      <c r="D328" t="s">
        <v>18</v>
      </c>
      <c r="E328" t="s">
        <v>19</v>
      </c>
      <c r="F328" t="s">
        <v>24</v>
      </c>
      <c r="G328" t="s">
        <v>22</v>
      </c>
      <c r="H328" s="23">
        <v>5839.04</v>
      </c>
      <c r="I328" s="23">
        <v>1435.05</v>
      </c>
      <c r="J328" s="23">
        <v>54220.95</v>
      </c>
      <c r="K328" s="23">
        <v>830.45</v>
      </c>
      <c r="L328" s="10">
        <v>30743687790</v>
      </c>
      <c r="M328" s="9">
        <v>91702124010</v>
      </c>
      <c r="N328" s="12">
        <f xml:space="preserve"> Tb_prod[[#This Row],[Costo_Mantenimiento_CLP]] / Tb_prod[[#This Row],[Dias_Operación_Mes]]</f>
        <v>1138655103.3333333</v>
      </c>
      <c r="O328" s="11">
        <f>Tb_prod[[#This Row],[Costo_Operativo_CLP]] / Tb_prod[[#This Row],[Producción_Toneladas]]</f>
        <v>15705000.138721434</v>
      </c>
      <c r="P328">
        <v>280</v>
      </c>
      <c r="Q328">
        <v>27</v>
      </c>
      <c r="R328" s="6">
        <v>45886</v>
      </c>
      <c r="S328" t="str">
        <f t="shared" si="10"/>
        <v>domingo</v>
      </c>
      <c r="T328" t="str">
        <f t="shared" si="11"/>
        <v>agosto</v>
      </c>
      <c r="U328">
        <v>72.290000000000006</v>
      </c>
      <c r="V328">
        <f xml:space="preserve"> Tb_prod[[#This Row],[Emisiones_CO2_ton]] / Tb_prod[[#This Row],[Cantidad_Empleados]]</f>
        <v>2.9658928571428573</v>
      </c>
      <c r="W328" t="str">
        <f>IF(Tb_prod[[#This Row],[Recuperación_Metal_Porcentaje]]&gt;90,"Alta",IF(Tb_prod[[#This Row],[Recuperación_Metal_Porcentaje]]&gt;75,"Media","Baja"))</f>
        <v>Baja</v>
      </c>
      <c r="X328" t="str">
        <f>IF(AND(Tb_prod[[#This Row],[Consumo_Energia_MWh]]&lt;=2000,Tb_prod[[#This Row],[Riesgo_Ambiental]]="Alto"),"Crítica","Normal")</f>
        <v>Normal</v>
      </c>
    </row>
    <row r="329" spans="1:24">
      <c r="A329">
        <v>220</v>
      </c>
      <c r="B329" t="str">
        <f>VLOOKUP(Tb_prod[[#This Row],[Región]],AUX_REGION[],2,0)</f>
        <v>Minera del Norte</v>
      </c>
      <c r="C329" t="s">
        <v>27</v>
      </c>
      <c r="D329" t="s">
        <v>18</v>
      </c>
      <c r="E329" t="s">
        <v>14</v>
      </c>
      <c r="F329" t="s">
        <v>26</v>
      </c>
      <c r="G329" t="s">
        <v>20</v>
      </c>
      <c r="H329" s="23">
        <v>3280.26</v>
      </c>
      <c r="I329" s="23">
        <v>2567.12</v>
      </c>
      <c r="J329" s="23">
        <v>54232.27</v>
      </c>
      <c r="K329" s="23">
        <v>698.83</v>
      </c>
      <c r="L329" s="10">
        <v>12756975660</v>
      </c>
      <c r="M329" s="9">
        <v>67848281910</v>
      </c>
      <c r="N329" s="12">
        <f xml:space="preserve"> Tb_prod[[#This Row],[Costo_Mantenimiento_CLP]] / Tb_prod[[#This Row],[Dias_Operación_Mes]]</f>
        <v>637848783</v>
      </c>
      <c r="O329" s="11">
        <f>Tb_prod[[#This Row],[Costo_Operativo_CLP]] / Tb_prod[[#This Row],[Producción_Toneladas]]</f>
        <v>20683812.231347512</v>
      </c>
      <c r="P329">
        <v>226</v>
      </c>
      <c r="Q329">
        <v>20</v>
      </c>
      <c r="R329" s="6">
        <v>45386</v>
      </c>
      <c r="S329" t="str">
        <f t="shared" si="10"/>
        <v>jueves</v>
      </c>
      <c r="T329" t="str">
        <f t="shared" si="11"/>
        <v>abril</v>
      </c>
      <c r="U329">
        <v>88.05</v>
      </c>
      <c r="V329">
        <f xml:space="preserve"> Tb_prod[[#This Row],[Emisiones_CO2_ton]] / Tb_prod[[#This Row],[Cantidad_Empleados]]</f>
        <v>3.0921681415929205</v>
      </c>
      <c r="W329" t="str">
        <f>IF(Tb_prod[[#This Row],[Recuperación_Metal_Porcentaje]]&gt;90,"Alta",IF(Tb_prod[[#This Row],[Recuperación_Metal_Porcentaje]]&gt;75,"Media","Baja"))</f>
        <v>Media</v>
      </c>
      <c r="X329" t="str">
        <f>IF(AND(Tb_prod[[#This Row],[Consumo_Energia_MWh]]&lt;=2000,Tb_prod[[#This Row],[Riesgo_Ambiental]]="Alto"),"Crítica","Normal")</f>
        <v>Normal</v>
      </c>
    </row>
    <row r="330" spans="1:24">
      <c r="A330">
        <v>336</v>
      </c>
      <c r="B330" t="str">
        <f>VLOOKUP(Tb_prod[[#This Row],[Región]],AUX_REGION[],2,0)</f>
        <v>Minera del Norte</v>
      </c>
      <c r="C330" t="s">
        <v>25</v>
      </c>
      <c r="D330" t="s">
        <v>18</v>
      </c>
      <c r="E330" t="s">
        <v>19</v>
      </c>
      <c r="F330" t="s">
        <v>24</v>
      </c>
      <c r="G330" t="s">
        <v>22</v>
      </c>
      <c r="H330" s="23">
        <v>7423.94</v>
      </c>
      <c r="I330" s="23">
        <v>2330.94</v>
      </c>
      <c r="J330" s="23">
        <v>54306.68</v>
      </c>
      <c r="K330" s="23">
        <v>828.59</v>
      </c>
      <c r="L330" s="10">
        <v>26784857610</v>
      </c>
      <c r="M330" s="9">
        <v>82055670930</v>
      </c>
      <c r="N330" s="12">
        <f xml:space="preserve"> Tb_prod[[#This Row],[Costo_Mantenimiento_CLP]] / Tb_prod[[#This Row],[Dias_Operación_Mes]]</f>
        <v>1217493527.7272727</v>
      </c>
      <c r="O330" s="11">
        <f>Tb_prod[[#This Row],[Costo_Operativo_CLP]] / Tb_prod[[#This Row],[Producción_Toneladas]]</f>
        <v>11052846.726940142</v>
      </c>
      <c r="P330">
        <v>204</v>
      </c>
      <c r="Q330">
        <v>22</v>
      </c>
      <c r="R330" s="6">
        <v>45507</v>
      </c>
      <c r="S330" t="str">
        <f t="shared" si="10"/>
        <v>sábado</v>
      </c>
      <c r="T330" t="str">
        <f t="shared" si="11"/>
        <v>agosto</v>
      </c>
      <c r="U330">
        <v>73.34</v>
      </c>
      <c r="V330">
        <f xml:space="preserve"> Tb_prod[[#This Row],[Emisiones_CO2_ton]] / Tb_prod[[#This Row],[Cantidad_Empleados]]</f>
        <v>4.0617156862745096</v>
      </c>
      <c r="W330" t="str">
        <f>IF(Tb_prod[[#This Row],[Recuperación_Metal_Porcentaje]]&gt;90,"Alta",IF(Tb_prod[[#This Row],[Recuperación_Metal_Porcentaje]]&gt;75,"Media","Baja"))</f>
        <v>Baja</v>
      </c>
      <c r="X330" t="str">
        <f>IF(AND(Tb_prod[[#This Row],[Consumo_Energia_MWh]]&lt;=2000,Tb_prod[[#This Row],[Riesgo_Ambiental]]="Alto"),"Crítica","Normal")</f>
        <v>Normal</v>
      </c>
    </row>
    <row r="331" spans="1:24">
      <c r="A331">
        <v>364</v>
      </c>
      <c r="B331" t="str">
        <f>VLOOKUP(Tb_prod[[#This Row],[Región]],AUX_REGION[],2,0)</f>
        <v>Minera Staff</v>
      </c>
      <c r="C331" t="s">
        <v>17</v>
      </c>
      <c r="D331" t="s">
        <v>13</v>
      </c>
      <c r="E331" t="s">
        <v>19</v>
      </c>
      <c r="F331" t="s">
        <v>26</v>
      </c>
      <c r="G331" t="s">
        <v>22</v>
      </c>
      <c r="H331" s="23">
        <v>4339.99</v>
      </c>
      <c r="I331" s="23">
        <v>2952.83</v>
      </c>
      <c r="J331" s="23">
        <v>54449.69</v>
      </c>
      <c r="K331" s="23">
        <v>894.45</v>
      </c>
      <c r="L331" s="10">
        <v>9888699870</v>
      </c>
      <c r="M331" s="9">
        <v>65240046900</v>
      </c>
      <c r="N331" s="12">
        <f xml:space="preserve"> Tb_prod[[#This Row],[Costo_Mantenimiento_CLP]] / Tb_prod[[#This Row],[Dias_Operación_Mes]]</f>
        <v>412029161.25</v>
      </c>
      <c r="O331" s="11">
        <f>Tb_prod[[#This Row],[Costo_Operativo_CLP]] / Tb_prod[[#This Row],[Producción_Toneladas]]</f>
        <v>15032303.50761177</v>
      </c>
      <c r="P331">
        <v>286</v>
      </c>
      <c r="Q331">
        <v>24</v>
      </c>
      <c r="R331" s="6">
        <v>45426</v>
      </c>
      <c r="S331" t="str">
        <f t="shared" si="10"/>
        <v>martes</v>
      </c>
      <c r="T331" t="str">
        <f t="shared" si="11"/>
        <v>mayo</v>
      </c>
      <c r="U331">
        <v>75.88</v>
      </c>
      <c r="V331">
        <f xml:space="preserve"> Tb_prod[[#This Row],[Emisiones_CO2_ton]] / Tb_prod[[#This Row],[Cantidad_Empleados]]</f>
        <v>3.1274475524475527</v>
      </c>
      <c r="W331" t="str">
        <f>IF(Tb_prod[[#This Row],[Recuperación_Metal_Porcentaje]]&gt;90,"Alta",IF(Tb_prod[[#This Row],[Recuperación_Metal_Porcentaje]]&gt;75,"Media","Baja"))</f>
        <v>Media</v>
      </c>
      <c r="X331" t="str">
        <f>IF(AND(Tb_prod[[#This Row],[Consumo_Energia_MWh]]&lt;=2000,Tb_prod[[#This Row],[Riesgo_Ambiental]]="Alto"),"Crítica","Normal")</f>
        <v>Normal</v>
      </c>
    </row>
    <row r="332" spans="1:24">
      <c r="A332">
        <v>100</v>
      </c>
      <c r="B332" t="str">
        <f>VLOOKUP(Tb_prod[[#This Row],[Región]],AUX_REGION[],2,0)</f>
        <v>Minera del Norte</v>
      </c>
      <c r="C332" t="s">
        <v>27</v>
      </c>
      <c r="D332" t="s">
        <v>18</v>
      </c>
      <c r="E332" t="s">
        <v>19</v>
      </c>
      <c r="F332" t="s">
        <v>26</v>
      </c>
      <c r="G332" t="s">
        <v>16</v>
      </c>
      <c r="H332" s="23">
        <v>5266.06</v>
      </c>
      <c r="I332" s="23">
        <v>1372.11</v>
      </c>
      <c r="J332" s="23">
        <v>54550.59</v>
      </c>
      <c r="K332" s="23">
        <v>616.58000000000004</v>
      </c>
      <c r="L332" s="10">
        <v>38462993190</v>
      </c>
      <c r="M332" s="9">
        <v>234672124500</v>
      </c>
      <c r="N332" s="12">
        <f xml:space="preserve"> Tb_prod[[#This Row],[Costo_Mantenimiento_CLP]] / Tb_prod[[#This Row],[Dias_Operación_Mes]]</f>
        <v>1538519727.5999999</v>
      </c>
      <c r="O332" s="11">
        <f>Tb_prod[[#This Row],[Costo_Operativo_CLP]] / Tb_prod[[#This Row],[Producción_Toneladas]]</f>
        <v>44563131.544266485</v>
      </c>
      <c r="P332">
        <v>201</v>
      </c>
      <c r="Q332">
        <v>25</v>
      </c>
      <c r="R332" s="6">
        <v>45887</v>
      </c>
      <c r="S332" t="str">
        <f t="shared" si="10"/>
        <v>lunes</v>
      </c>
      <c r="T332" t="str">
        <f t="shared" si="11"/>
        <v>agosto</v>
      </c>
      <c r="U332">
        <v>90.86</v>
      </c>
      <c r="V332">
        <f xml:space="preserve"> Tb_prod[[#This Row],[Emisiones_CO2_ton]] / Tb_prod[[#This Row],[Cantidad_Empleados]]</f>
        <v>3.0675621890547267</v>
      </c>
      <c r="W332" t="str">
        <f>IF(Tb_prod[[#This Row],[Recuperación_Metal_Porcentaje]]&gt;90,"Alta",IF(Tb_prod[[#This Row],[Recuperación_Metal_Porcentaje]]&gt;75,"Media","Baja"))</f>
        <v>Alta</v>
      </c>
      <c r="X332" t="str">
        <f>IF(AND(Tb_prod[[#This Row],[Consumo_Energia_MWh]]&lt;=2000,Tb_prod[[#This Row],[Riesgo_Ambiental]]="Alto"),"Crítica","Normal")</f>
        <v>Normal</v>
      </c>
    </row>
    <row r="333" spans="1:24">
      <c r="A333">
        <v>313</v>
      </c>
      <c r="B333" t="str">
        <f>VLOOKUP(Tb_prod[[#This Row],[Región]],AUX_REGION[],2,0)</f>
        <v>Minera Staff</v>
      </c>
      <c r="C333" t="s">
        <v>25</v>
      </c>
      <c r="D333" t="s">
        <v>13</v>
      </c>
      <c r="E333" t="s">
        <v>14</v>
      </c>
      <c r="F333" t="s">
        <v>24</v>
      </c>
      <c r="G333" t="s">
        <v>20</v>
      </c>
      <c r="H333" s="23">
        <v>4113.05</v>
      </c>
      <c r="I333" s="23">
        <v>2210.77</v>
      </c>
      <c r="J333" s="23">
        <v>54564.69</v>
      </c>
      <c r="K333" s="23">
        <v>896.38</v>
      </c>
      <c r="L333" s="10">
        <v>16173283860</v>
      </c>
      <c r="M333" s="9">
        <v>144379650960</v>
      </c>
      <c r="N333" s="12">
        <f xml:space="preserve"> Tb_prod[[#This Row],[Costo_Mantenimiento_CLP]] / Tb_prod[[#This Row],[Dias_Operación_Mes]]</f>
        <v>703186254.78260875</v>
      </c>
      <c r="O333" s="11">
        <f>Tb_prod[[#This Row],[Costo_Operativo_CLP]] / Tb_prod[[#This Row],[Producción_Toneladas]]</f>
        <v>35102819.309271708</v>
      </c>
      <c r="P333">
        <v>210</v>
      </c>
      <c r="Q333">
        <v>23</v>
      </c>
      <c r="R333" s="6">
        <v>45793</v>
      </c>
      <c r="S333" t="str">
        <f t="shared" si="10"/>
        <v>viernes</v>
      </c>
      <c r="T333" t="str">
        <f t="shared" si="11"/>
        <v>mayo</v>
      </c>
      <c r="U333">
        <v>77.760000000000005</v>
      </c>
      <c r="V333">
        <f xml:space="preserve"> Tb_prod[[#This Row],[Emisiones_CO2_ton]] / Tb_prod[[#This Row],[Cantidad_Empleados]]</f>
        <v>4.2684761904761901</v>
      </c>
      <c r="W333" t="str">
        <f>IF(Tb_prod[[#This Row],[Recuperación_Metal_Porcentaje]]&gt;90,"Alta",IF(Tb_prod[[#This Row],[Recuperación_Metal_Porcentaje]]&gt;75,"Media","Baja"))</f>
        <v>Media</v>
      </c>
      <c r="X333" t="str">
        <f>IF(AND(Tb_prod[[#This Row],[Consumo_Energia_MWh]]&lt;=2000,Tb_prod[[#This Row],[Riesgo_Ambiental]]="Alto"),"Crítica","Normal")</f>
        <v>Normal</v>
      </c>
    </row>
    <row r="334" spans="1:24">
      <c r="A334">
        <v>276</v>
      </c>
      <c r="B334" t="str">
        <f>VLOOKUP(Tb_prod[[#This Row],[Región]],AUX_REGION[],2,0)</f>
        <v>Minera Staff</v>
      </c>
      <c r="C334" t="s">
        <v>21</v>
      </c>
      <c r="D334" t="s">
        <v>13</v>
      </c>
      <c r="E334" t="s">
        <v>19</v>
      </c>
      <c r="F334" t="s">
        <v>24</v>
      </c>
      <c r="G334" t="s">
        <v>16</v>
      </c>
      <c r="H334" s="23">
        <v>4440.25</v>
      </c>
      <c r="I334" s="23">
        <v>2029.2</v>
      </c>
      <c r="J334" s="23">
        <v>54650.14</v>
      </c>
      <c r="K334" s="23">
        <v>1466.81</v>
      </c>
      <c r="L334" s="10">
        <v>16387656660</v>
      </c>
      <c r="M334" s="9">
        <v>117604439100</v>
      </c>
      <c r="N334" s="12">
        <f xml:space="preserve"> Tb_prod[[#This Row],[Costo_Mantenimiento_CLP]] / Tb_prod[[#This Row],[Dias_Operación_Mes]]</f>
        <v>655506266.39999998</v>
      </c>
      <c r="O334" s="11">
        <f>Tb_prod[[#This Row],[Costo_Operativo_CLP]] / Tb_prod[[#This Row],[Producción_Toneladas]]</f>
        <v>26485994.955239005</v>
      </c>
      <c r="P334">
        <v>65</v>
      </c>
      <c r="Q334">
        <v>25</v>
      </c>
      <c r="R334" s="6">
        <v>45451</v>
      </c>
      <c r="S334" t="str">
        <f t="shared" si="10"/>
        <v>sábado</v>
      </c>
      <c r="T334" t="str">
        <f t="shared" si="11"/>
        <v>junio</v>
      </c>
      <c r="U334">
        <v>86.17</v>
      </c>
      <c r="V334">
        <f xml:space="preserve"> Tb_prod[[#This Row],[Emisiones_CO2_ton]] / Tb_prod[[#This Row],[Cantidad_Empleados]]</f>
        <v>22.566307692307692</v>
      </c>
      <c r="W334" t="str">
        <f>IF(Tb_prod[[#This Row],[Recuperación_Metal_Porcentaje]]&gt;90,"Alta",IF(Tb_prod[[#This Row],[Recuperación_Metal_Porcentaje]]&gt;75,"Media","Baja"))</f>
        <v>Media</v>
      </c>
      <c r="X334" t="str">
        <f>IF(AND(Tb_prod[[#This Row],[Consumo_Energia_MWh]]&lt;=2000,Tb_prod[[#This Row],[Riesgo_Ambiental]]="Alto"),"Crítica","Normal")</f>
        <v>Normal</v>
      </c>
    </row>
    <row r="335" spans="1:24">
      <c r="A335">
        <v>365</v>
      </c>
      <c r="B335" t="str">
        <f>VLOOKUP(Tb_prod[[#This Row],[Región]],AUX_REGION[],2,0)</f>
        <v>Minera Staff</v>
      </c>
      <c r="C335" t="s">
        <v>12</v>
      </c>
      <c r="D335" t="s">
        <v>13</v>
      </c>
      <c r="E335" t="s">
        <v>19</v>
      </c>
      <c r="F335" t="s">
        <v>15</v>
      </c>
      <c r="G335" t="s">
        <v>16</v>
      </c>
      <c r="H335" s="23">
        <v>2579.8000000000002</v>
      </c>
      <c r="I335" s="23">
        <v>1467.35</v>
      </c>
      <c r="J335" s="23">
        <v>54682.65</v>
      </c>
      <c r="K335" s="23">
        <v>1191.78</v>
      </c>
      <c r="L335" s="10">
        <v>39705443190</v>
      </c>
      <c r="M335" s="9">
        <v>80970815250</v>
      </c>
      <c r="N335" s="12">
        <f xml:space="preserve"> Tb_prod[[#This Row],[Costo_Mantenimiento_CLP]] / Tb_prod[[#This Row],[Dias_Operación_Mes]]</f>
        <v>1804792872.2727273</v>
      </c>
      <c r="O335" s="11">
        <f>Tb_prod[[#This Row],[Costo_Operativo_CLP]] / Tb_prod[[#This Row],[Producción_Toneladas]]</f>
        <v>31386469.97829289</v>
      </c>
      <c r="P335">
        <v>241</v>
      </c>
      <c r="Q335">
        <v>22</v>
      </c>
      <c r="R335" s="6">
        <v>45966</v>
      </c>
      <c r="S335" t="str">
        <f t="shared" si="10"/>
        <v>miércoles</v>
      </c>
      <c r="T335" t="str">
        <f t="shared" si="11"/>
        <v>noviembre</v>
      </c>
      <c r="U335">
        <v>91.62</v>
      </c>
      <c r="V335">
        <f xml:space="preserve"> Tb_prod[[#This Row],[Emisiones_CO2_ton]] / Tb_prod[[#This Row],[Cantidad_Empleados]]</f>
        <v>4.9451452282157673</v>
      </c>
      <c r="W335" t="str">
        <f>IF(Tb_prod[[#This Row],[Recuperación_Metal_Porcentaje]]&gt;90,"Alta",IF(Tb_prod[[#This Row],[Recuperación_Metal_Porcentaje]]&gt;75,"Media","Baja"))</f>
        <v>Alta</v>
      </c>
      <c r="X335" t="str">
        <f>IF(AND(Tb_prod[[#This Row],[Consumo_Energia_MWh]]&lt;=2000,Tb_prod[[#This Row],[Riesgo_Ambiental]]="Alto"),"Crítica","Normal")</f>
        <v>Normal</v>
      </c>
    </row>
    <row r="336" spans="1:24">
      <c r="A336">
        <v>231</v>
      </c>
      <c r="B336" t="str">
        <f>VLOOKUP(Tb_prod[[#This Row],[Región]],AUX_REGION[],2,0)</f>
        <v>Minera Staff</v>
      </c>
      <c r="C336" t="s">
        <v>25</v>
      </c>
      <c r="D336" t="s">
        <v>13</v>
      </c>
      <c r="E336" t="s">
        <v>14</v>
      </c>
      <c r="F336" t="s">
        <v>15</v>
      </c>
      <c r="G336" t="s">
        <v>16</v>
      </c>
      <c r="H336" s="23">
        <v>2699.38</v>
      </c>
      <c r="I336" s="23">
        <v>2138.91</v>
      </c>
      <c r="J336" s="23">
        <v>54732.9</v>
      </c>
      <c r="K336" s="23">
        <v>1033.2</v>
      </c>
      <c r="L336" s="10">
        <v>7405745310</v>
      </c>
      <c r="M336" s="9">
        <v>65956647510</v>
      </c>
      <c r="N336" s="12">
        <f xml:space="preserve"> Tb_prod[[#This Row],[Costo_Mantenimiento_CLP]] / Tb_prod[[#This Row],[Dias_Operación_Mes]]</f>
        <v>284836358.07692307</v>
      </c>
      <c r="O336" s="11">
        <f>Tb_prod[[#This Row],[Costo_Operativo_CLP]] / Tb_prod[[#This Row],[Producción_Toneladas]]</f>
        <v>24433998.736746956</v>
      </c>
      <c r="P336">
        <v>262</v>
      </c>
      <c r="Q336">
        <v>26</v>
      </c>
      <c r="R336" s="6">
        <v>45724</v>
      </c>
      <c r="S336" t="str">
        <f t="shared" si="10"/>
        <v>sábado</v>
      </c>
      <c r="T336" t="str">
        <f t="shared" si="11"/>
        <v>marzo</v>
      </c>
      <c r="U336">
        <v>97.93</v>
      </c>
      <c r="V336">
        <f xml:space="preserve"> Tb_prod[[#This Row],[Emisiones_CO2_ton]] / Tb_prod[[#This Row],[Cantidad_Empleados]]</f>
        <v>3.9435114503816795</v>
      </c>
      <c r="W336" t="str">
        <f>IF(Tb_prod[[#This Row],[Recuperación_Metal_Porcentaje]]&gt;90,"Alta",IF(Tb_prod[[#This Row],[Recuperación_Metal_Porcentaje]]&gt;75,"Media","Baja"))</f>
        <v>Alta</v>
      </c>
      <c r="X336" t="str">
        <f>IF(AND(Tb_prod[[#This Row],[Consumo_Energia_MWh]]&lt;=2000,Tb_prod[[#This Row],[Riesgo_Ambiental]]="Alto"),"Crítica","Normal")</f>
        <v>Normal</v>
      </c>
    </row>
    <row r="337" spans="1:24">
      <c r="A337">
        <v>35</v>
      </c>
      <c r="B337" t="str">
        <f>VLOOKUP(Tb_prod[[#This Row],[Región]],AUX_REGION[],2,0)</f>
        <v>Minera Staff</v>
      </c>
      <c r="C337" t="s">
        <v>21</v>
      </c>
      <c r="D337" t="s">
        <v>13</v>
      </c>
      <c r="E337" t="s">
        <v>19</v>
      </c>
      <c r="F337" t="s">
        <v>26</v>
      </c>
      <c r="G337" t="s">
        <v>20</v>
      </c>
      <c r="H337" s="23">
        <v>3771.1</v>
      </c>
      <c r="I337" s="23">
        <v>490.98</v>
      </c>
      <c r="J337" s="23">
        <v>54781.33</v>
      </c>
      <c r="K337" s="23">
        <v>1142.6099999999999</v>
      </c>
      <c r="L337" s="10">
        <v>18158237550</v>
      </c>
      <c r="M337" s="9">
        <v>26611653870</v>
      </c>
      <c r="N337" s="12">
        <f xml:space="preserve"> Tb_prod[[#This Row],[Costo_Mantenimiento_CLP]] / Tb_prod[[#This Row],[Dias_Operación_Mes]]</f>
        <v>605274585</v>
      </c>
      <c r="O337" s="11">
        <f>Tb_prod[[#This Row],[Costo_Operativo_CLP]] / Tb_prod[[#This Row],[Producción_Toneladas]]</f>
        <v>7056735.1356368167</v>
      </c>
      <c r="P337">
        <v>151</v>
      </c>
      <c r="Q337">
        <v>30</v>
      </c>
      <c r="R337" s="6">
        <v>45314</v>
      </c>
      <c r="S337" t="str">
        <f t="shared" si="10"/>
        <v>martes</v>
      </c>
      <c r="T337" t="str">
        <f t="shared" si="11"/>
        <v>enero</v>
      </c>
      <c r="U337">
        <v>84.5</v>
      </c>
      <c r="V337">
        <f xml:space="preserve"> Tb_prod[[#This Row],[Emisiones_CO2_ton]] / Tb_prod[[#This Row],[Cantidad_Empleados]]</f>
        <v>7.5669536423841057</v>
      </c>
      <c r="W337" t="str">
        <f>IF(Tb_prod[[#This Row],[Recuperación_Metal_Porcentaje]]&gt;90,"Alta",IF(Tb_prod[[#This Row],[Recuperación_Metal_Porcentaje]]&gt;75,"Media","Baja"))</f>
        <v>Media</v>
      </c>
      <c r="X337" t="str">
        <f>IF(AND(Tb_prod[[#This Row],[Consumo_Energia_MWh]]&lt;=2000,Tb_prod[[#This Row],[Riesgo_Ambiental]]="Alto"),"Crítica","Normal")</f>
        <v>Crítica</v>
      </c>
    </row>
    <row r="338" spans="1:24">
      <c r="A338">
        <v>6</v>
      </c>
      <c r="B338" t="str">
        <f>VLOOKUP(Tb_prod[[#This Row],[Región]],AUX_REGION[],2,0)</f>
        <v>Minera Romero</v>
      </c>
      <c r="C338" t="s">
        <v>25</v>
      </c>
      <c r="D338" t="s">
        <v>23</v>
      </c>
      <c r="E338" t="s">
        <v>19</v>
      </c>
      <c r="F338" t="s">
        <v>26</v>
      </c>
      <c r="G338" t="s">
        <v>20</v>
      </c>
      <c r="H338" s="23">
        <v>5349.01</v>
      </c>
      <c r="I338" s="23">
        <v>1819.94</v>
      </c>
      <c r="J338" s="23">
        <v>54795.79</v>
      </c>
      <c r="K338" s="23">
        <v>746.72</v>
      </c>
      <c r="L338" s="10">
        <v>17420133510</v>
      </c>
      <c r="M338" s="9">
        <v>590198000000</v>
      </c>
      <c r="N338" s="12">
        <f xml:space="preserve"> Tb_prod[[#This Row],[Costo_Mantenimiento_CLP]] / Tb_prod[[#This Row],[Dias_Operación_Mes]]</f>
        <v>600694258.96551728</v>
      </c>
      <c r="O338" s="11">
        <f>Tb_prod[[#This Row],[Costo_Operativo_CLP]] / Tb_prod[[#This Row],[Producción_Toneladas]]</f>
        <v>110337800.82669502</v>
      </c>
      <c r="P338">
        <v>57</v>
      </c>
      <c r="Q338">
        <v>29</v>
      </c>
      <c r="R338" s="6">
        <v>45014</v>
      </c>
      <c r="S338" t="str">
        <f t="shared" si="10"/>
        <v>miércoles</v>
      </c>
      <c r="T338" t="str">
        <f t="shared" si="11"/>
        <v>marzo</v>
      </c>
      <c r="U338">
        <v>79.98</v>
      </c>
      <c r="V338">
        <f xml:space="preserve"> Tb_prod[[#This Row],[Emisiones_CO2_ton]] / Tb_prod[[#This Row],[Cantidad_Empleados]]</f>
        <v>13.100350877192984</v>
      </c>
      <c r="W338" t="str">
        <f>IF(Tb_prod[[#This Row],[Recuperación_Metal_Porcentaje]]&gt;90,"Alta",IF(Tb_prod[[#This Row],[Recuperación_Metal_Porcentaje]]&gt;75,"Media","Baja"))</f>
        <v>Media</v>
      </c>
      <c r="X338" t="str">
        <f>IF(AND(Tb_prod[[#This Row],[Consumo_Energia_MWh]]&lt;=2000,Tb_prod[[#This Row],[Riesgo_Ambiental]]="Alto"),"Crítica","Normal")</f>
        <v>Crítica</v>
      </c>
    </row>
    <row r="339" spans="1:24">
      <c r="A339">
        <v>98</v>
      </c>
      <c r="B339" t="str">
        <f>VLOOKUP(Tb_prod[[#This Row],[Región]],AUX_REGION[],2,0)</f>
        <v>Minera del Norte</v>
      </c>
      <c r="C339" t="s">
        <v>25</v>
      </c>
      <c r="D339" t="s">
        <v>18</v>
      </c>
      <c r="E339" t="s">
        <v>19</v>
      </c>
      <c r="F339" t="s">
        <v>26</v>
      </c>
      <c r="G339" t="s">
        <v>16</v>
      </c>
      <c r="H339" s="23">
        <v>5704.43</v>
      </c>
      <c r="I339" s="23">
        <v>1302.6199999999999</v>
      </c>
      <c r="J339" s="23">
        <v>54936.75</v>
      </c>
      <c r="K339" s="23">
        <v>1284.44</v>
      </c>
      <c r="L339" s="10">
        <v>8140902930</v>
      </c>
      <c r="M339" s="9">
        <v>72871581420</v>
      </c>
      <c r="N339" s="12">
        <f xml:space="preserve"> Tb_prod[[#This Row],[Costo_Mantenimiento_CLP]] / Tb_prod[[#This Row],[Dias_Operación_Mes]]</f>
        <v>301514923.33333331</v>
      </c>
      <c r="O339" s="11">
        <f>Tb_prod[[#This Row],[Costo_Operativo_CLP]] / Tb_prod[[#This Row],[Producción_Toneladas]]</f>
        <v>12774559.670291334</v>
      </c>
      <c r="P339">
        <v>177</v>
      </c>
      <c r="Q339">
        <v>27</v>
      </c>
      <c r="R339" s="6">
        <v>45610</v>
      </c>
      <c r="S339" t="str">
        <f t="shared" si="10"/>
        <v>jueves</v>
      </c>
      <c r="T339" t="str">
        <f t="shared" si="11"/>
        <v>noviembre</v>
      </c>
      <c r="U339">
        <v>70.02</v>
      </c>
      <c r="V339">
        <f xml:space="preserve"> Tb_prod[[#This Row],[Emisiones_CO2_ton]] / Tb_prod[[#This Row],[Cantidad_Empleados]]</f>
        <v>7.2567231638418086</v>
      </c>
      <c r="W339" t="str">
        <f>IF(Tb_prod[[#This Row],[Recuperación_Metal_Porcentaje]]&gt;90,"Alta",IF(Tb_prod[[#This Row],[Recuperación_Metal_Porcentaje]]&gt;75,"Media","Baja"))</f>
        <v>Baja</v>
      </c>
      <c r="X339" t="str">
        <f>IF(AND(Tb_prod[[#This Row],[Consumo_Energia_MWh]]&lt;=2000,Tb_prod[[#This Row],[Riesgo_Ambiental]]="Alto"),"Crítica","Normal")</f>
        <v>Normal</v>
      </c>
    </row>
    <row r="340" spans="1:24">
      <c r="A340">
        <v>167</v>
      </c>
      <c r="B340" t="str">
        <f>VLOOKUP(Tb_prod[[#This Row],[Región]],AUX_REGION[],2,0)</f>
        <v>Minera del Norte</v>
      </c>
      <c r="C340" t="s">
        <v>12</v>
      </c>
      <c r="D340" t="s">
        <v>18</v>
      </c>
      <c r="E340" t="s">
        <v>19</v>
      </c>
      <c r="F340" t="s">
        <v>15</v>
      </c>
      <c r="G340" t="s">
        <v>22</v>
      </c>
      <c r="H340" s="23">
        <v>6017.45</v>
      </c>
      <c r="I340" s="23">
        <v>1355.82</v>
      </c>
      <c r="J340" s="23">
        <v>55022.92</v>
      </c>
      <c r="K340" s="23">
        <v>1105.0999999999999</v>
      </c>
      <c r="L340" s="10">
        <v>37673151660</v>
      </c>
      <c r="M340" s="9">
        <v>177554427750</v>
      </c>
      <c r="N340" s="12">
        <f xml:space="preserve"> Tb_prod[[#This Row],[Costo_Mantenimiento_CLP]] / Tb_prod[[#This Row],[Dias_Operación_Mes]]</f>
        <v>1506926066.4000001</v>
      </c>
      <c r="O340" s="11">
        <f>Tb_prod[[#This Row],[Costo_Operativo_CLP]] / Tb_prod[[#This Row],[Producción_Toneladas]]</f>
        <v>29506589.626835287</v>
      </c>
      <c r="P340">
        <v>111</v>
      </c>
      <c r="Q340">
        <v>25</v>
      </c>
      <c r="R340" s="6">
        <v>45490</v>
      </c>
      <c r="S340" t="str">
        <f t="shared" si="10"/>
        <v>miércoles</v>
      </c>
      <c r="T340" t="str">
        <f t="shared" si="11"/>
        <v>julio</v>
      </c>
      <c r="U340">
        <v>73.89</v>
      </c>
      <c r="V340">
        <f xml:space="preserve"> Tb_prod[[#This Row],[Emisiones_CO2_ton]] / Tb_prod[[#This Row],[Cantidad_Empleados]]</f>
        <v>9.9558558558558552</v>
      </c>
      <c r="W340" t="str">
        <f>IF(Tb_prod[[#This Row],[Recuperación_Metal_Porcentaje]]&gt;90,"Alta",IF(Tb_prod[[#This Row],[Recuperación_Metal_Porcentaje]]&gt;75,"Media","Baja"))</f>
        <v>Baja</v>
      </c>
      <c r="X340" t="str">
        <f>IF(AND(Tb_prod[[#This Row],[Consumo_Energia_MWh]]&lt;=2000,Tb_prod[[#This Row],[Riesgo_Ambiental]]="Alto"),"Crítica","Normal")</f>
        <v>Normal</v>
      </c>
    </row>
    <row r="341" spans="1:24">
      <c r="A341">
        <v>160</v>
      </c>
      <c r="B341" t="str">
        <f>VLOOKUP(Tb_prod[[#This Row],[Región]],AUX_REGION[],2,0)</f>
        <v>Minera Romero</v>
      </c>
      <c r="C341" t="s">
        <v>21</v>
      </c>
      <c r="D341" t="s">
        <v>23</v>
      </c>
      <c r="E341" t="s">
        <v>19</v>
      </c>
      <c r="F341" t="s">
        <v>15</v>
      </c>
      <c r="G341" t="s">
        <v>22</v>
      </c>
      <c r="H341" s="23">
        <v>7588.12</v>
      </c>
      <c r="I341" s="23">
        <v>2412.17</v>
      </c>
      <c r="J341" s="23">
        <v>55221.01</v>
      </c>
      <c r="K341" s="23">
        <v>1437.73</v>
      </c>
      <c r="L341" s="10">
        <v>7880765490</v>
      </c>
      <c r="M341" s="9">
        <v>114049016370</v>
      </c>
      <c r="N341" s="12">
        <f xml:space="preserve"> Tb_prod[[#This Row],[Costo_Mantenimiento_CLP]] / Tb_prod[[#This Row],[Dias_Operación_Mes]]</f>
        <v>291880203.33333331</v>
      </c>
      <c r="O341" s="11">
        <f>Tb_prod[[#This Row],[Costo_Operativo_CLP]] / Tb_prod[[#This Row],[Producción_Toneladas]]</f>
        <v>15029943.697516644</v>
      </c>
      <c r="P341">
        <v>193</v>
      </c>
      <c r="Q341">
        <v>27</v>
      </c>
      <c r="R341" s="6">
        <v>45247</v>
      </c>
      <c r="S341" t="str">
        <f t="shared" si="10"/>
        <v>viernes</v>
      </c>
      <c r="T341" t="str">
        <f t="shared" si="11"/>
        <v>noviembre</v>
      </c>
      <c r="U341">
        <v>88.85</v>
      </c>
      <c r="V341">
        <f xml:space="preserve"> Tb_prod[[#This Row],[Emisiones_CO2_ton]] / Tb_prod[[#This Row],[Cantidad_Empleados]]</f>
        <v>7.4493782383419687</v>
      </c>
      <c r="W341" t="str">
        <f>IF(Tb_prod[[#This Row],[Recuperación_Metal_Porcentaje]]&gt;90,"Alta",IF(Tb_prod[[#This Row],[Recuperación_Metal_Porcentaje]]&gt;75,"Media","Baja"))</f>
        <v>Media</v>
      </c>
      <c r="X341" t="str">
        <f>IF(AND(Tb_prod[[#This Row],[Consumo_Energia_MWh]]&lt;=2000,Tb_prod[[#This Row],[Riesgo_Ambiental]]="Alto"),"Crítica","Normal")</f>
        <v>Normal</v>
      </c>
    </row>
    <row r="342" spans="1:24">
      <c r="A342">
        <v>36</v>
      </c>
      <c r="B342" t="str">
        <f>VLOOKUP(Tb_prod[[#This Row],[Región]],AUX_REGION[],2,0)</f>
        <v>Minera del Norte</v>
      </c>
      <c r="C342" t="s">
        <v>17</v>
      </c>
      <c r="D342" t="s">
        <v>18</v>
      </c>
      <c r="E342" t="s">
        <v>14</v>
      </c>
      <c r="F342" t="s">
        <v>26</v>
      </c>
      <c r="G342" t="s">
        <v>16</v>
      </c>
      <c r="H342" s="23">
        <v>5923.56</v>
      </c>
      <c r="I342" s="23">
        <v>2016.92</v>
      </c>
      <c r="J342" s="23">
        <v>55246.77</v>
      </c>
      <c r="K342" s="23">
        <v>956.1</v>
      </c>
      <c r="L342" s="10">
        <v>13105390320</v>
      </c>
      <c r="M342" s="9">
        <v>851439204780</v>
      </c>
      <c r="N342" s="12">
        <f xml:space="preserve"> Tb_prod[[#This Row],[Costo_Mantenimiento_CLP]] / Tb_prod[[#This Row],[Dias_Operación_Mes]]</f>
        <v>546057930</v>
      </c>
      <c r="O342" s="11">
        <f>Tb_prod[[#This Row],[Costo_Operativo_CLP]] / Tb_prod[[#This Row],[Producción_Toneladas]]</f>
        <v>143737753.10455197</v>
      </c>
      <c r="P342">
        <v>265</v>
      </c>
      <c r="Q342">
        <v>24</v>
      </c>
      <c r="R342" s="6">
        <v>45969</v>
      </c>
      <c r="S342" t="str">
        <f t="shared" si="10"/>
        <v>sábado</v>
      </c>
      <c r="T342" t="str">
        <f t="shared" si="11"/>
        <v>noviembre</v>
      </c>
      <c r="U342">
        <v>73.709999999999994</v>
      </c>
      <c r="V342">
        <f xml:space="preserve"> Tb_prod[[#This Row],[Emisiones_CO2_ton]] / Tb_prod[[#This Row],[Cantidad_Empleados]]</f>
        <v>3.6079245283018868</v>
      </c>
      <c r="W342" t="str">
        <f>IF(Tb_prod[[#This Row],[Recuperación_Metal_Porcentaje]]&gt;90,"Alta",IF(Tb_prod[[#This Row],[Recuperación_Metal_Porcentaje]]&gt;75,"Media","Baja"))</f>
        <v>Baja</v>
      </c>
      <c r="X342" t="str">
        <f>IF(AND(Tb_prod[[#This Row],[Consumo_Energia_MWh]]&lt;=2000,Tb_prod[[#This Row],[Riesgo_Ambiental]]="Alto"),"Crítica","Normal")</f>
        <v>Normal</v>
      </c>
    </row>
    <row r="343" spans="1:24">
      <c r="A343">
        <v>61</v>
      </c>
      <c r="B343" t="str">
        <f>VLOOKUP(Tb_prod[[#This Row],[Región]],AUX_REGION[],2,0)</f>
        <v>Minera del Norte</v>
      </c>
      <c r="C343" t="s">
        <v>25</v>
      </c>
      <c r="D343" t="s">
        <v>18</v>
      </c>
      <c r="E343" t="s">
        <v>14</v>
      </c>
      <c r="F343" t="s">
        <v>26</v>
      </c>
      <c r="G343" t="s">
        <v>20</v>
      </c>
      <c r="H343" s="23">
        <v>3358.84</v>
      </c>
      <c r="I343" s="23">
        <v>1051.25</v>
      </c>
      <c r="J343" s="23">
        <v>55468.24</v>
      </c>
      <c r="K343" s="23">
        <v>1238.24</v>
      </c>
      <c r="L343" s="10">
        <v>14235214590</v>
      </c>
      <c r="M343" s="9">
        <v>141272753580</v>
      </c>
      <c r="N343" s="12">
        <f xml:space="preserve"> Tb_prod[[#This Row],[Costo_Mantenimiento_CLP]] / Tb_prod[[#This Row],[Dias_Operación_Mes]]</f>
        <v>593133941.25</v>
      </c>
      <c r="O343" s="11">
        <f>Tb_prod[[#This Row],[Costo_Operativo_CLP]] / Tb_prod[[#This Row],[Producción_Toneladas]]</f>
        <v>42059983.083445475</v>
      </c>
      <c r="P343">
        <v>109</v>
      </c>
      <c r="Q343">
        <v>24</v>
      </c>
      <c r="R343" s="6">
        <v>45790</v>
      </c>
      <c r="S343" t="str">
        <f t="shared" si="10"/>
        <v>martes</v>
      </c>
      <c r="T343" t="str">
        <f t="shared" si="11"/>
        <v>mayo</v>
      </c>
      <c r="U343">
        <v>90.8</v>
      </c>
      <c r="V343">
        <f xml:space="preserve"> Tb_prod[[#This Row],[Emisiones_CO2_ton]] / Tb_prod[[#This Row],[Cantidad_Empleados]]</f>
        <v>11.36</v>
      </c>
      <c r="W343" t="str">
        <f>IF(Tb_prod[[#This Row],[Recuperación_Metal_Porcentaje]]&gt;90,"Alta",IF(Tb_prod[[#This Row],[Recuperación_Metal_Porcentaje]]&gt;75,"Media","Baja"))</f>
        <v>Alta</v>
      </c>
      <c r="X343" t="str">
        <f>IF(AND(Tb_prod[[#This Row],[Consumo_Energia_MWh]]&lt;=2000,Tb_prod[[#This Row],[Riesgo_Ambiental]]="Alto"),"Crítica","Normal")</f>
        <v>Crítica</v>
      </c>
    </row>
    <row r="344" spans="1:24">
      <c r="A344">
        <v>377</v>
      </c>
      <c r="B344" t="str">
        <f>VLOOKUP(Tb_prod[[#This Row],[Región]],AUX_REGION[],2,0)</f>
        <v>Minera Romero</v>
      </c>
      <c r="C344" t="s">
        <v>12</v>
      </c>
      <c r="D344" t="s">
        <v>23</v>
      </c>
      <c r="E344" t="s">
        <v>14</v>
      </c>
      <c r="F344" t="s">
        <v>26</v>
      </c>
      <c r="G344" t="s">
        <v>20</v>
      </c>
      <c r="H344" s="23">
        <v>2796.38</v>
      </c>
      <c r="I344" s="23">
        <v>2762.38</v>
      </c>
      <c r="J344" s="23">
        <v>55523.8</v>
      </c>
      <c r="K344" s="23">
        <v>1116.8800000000001</v>
      </c>
      <c r="L344" s="10">
        <v>10875173310</v>
      </c>
      <c r="M344" s="9">
        <v>157906003320</v>
      </c>
      <c r="N344" s="12">
        <f xml:space="preserve"> Tb_prod[[#This Row],[Costo_Mantenimiento_CLP]] / Tb_prod[[#This Row],[Dias_Operación_Mes]]</f>
        <v>362505777</v>
      </c>
      <c r="O344" s="11">
        <f>Tb_prod[[#This Row],[Costo_Operativo_CLP]] / Tb_prod[[#This Row],[Producción_Toneladas]]</f>
        <v>56468006.250938714</v>
      </c>
      <c r="P344">
        <v>164</v>
      </c>
      <c r="Q344">
        <v>30</v>
      </c>
      <c r="R344" s="6">
        <v>45993</v>
      </c>
      <c r="S344" t="str">
        <f t="shared" si="10"/>
        <v>martes</v>
      </c>
      <c r="T344" t="str">
        <f t="shared" si="11"/>
        <v>diciembre</v>
      </c>
      <c r="U344">
        <v>88.84</v>
      </c>
      <c r="V344">
        <f xml:space="preserve"> Tb_prod[[#This Row],[Emisiones_CO2_ton]] / Tb_prod[[#This Row],[Cantidad_Empleados]]</f>
        <v>6.8102439024390247</v>
      </c>
      <c r="W344" t="str">
        <f>IF(Tb_prod[[#This Row],[Recuperación_Metal_Porcentaje]]&gt;90,"Alta",IF(Tb_prod[[#This Row],[Recuperación_Metal_Porcentaje]]&gt;75,"Media","Baja"))</f>
        <v>Media</v>
      </c>
      <c r="X344" t="str">
        <f>IF(AND(Tb_prod[[#This Row],[Consumo_Energia_MWh]]&lt;=2000,Tb_prod[[#This Row],[Riesgo_Ambiental]]="Alto"),"Crítica","Normal")</f>
        <v>Normal</v>
      </c>
    </row>
    <row r="345" spans="1:24">
      <c r="A345">
        <v>323</v>
      </c>
      <c r="B345" t="str">
        <f>VLOOKUP(Tb_prod[[#This Row],[Región]],AUX_REGION[],2,0)</f>
        <v>Minera del Norte</v>
      </c>
      <c r="C345" t="s">
        <v>25</v>
      </c>
      <c r="D345" t="s">
        <v>18</v>
      </c>
      <c r="E345" t="s">
        <v>14</v>
      </c>
      <c r="F345" t="s">
        <v>26</v>
      </c>
      <c r="G345" t="s">
        <v>16</v>
      </c>
      <c r="H345" s="23">
        <v>7242.03</v>
      </c>
      <c r="I345" s="23">
        <v>1665.63</v>
      </c>
      <c r="J345" s="23">
        <v>55552.91</v>
      </c>
      <c r="K345" s="23">
        <v>730.89</v>
      </c>
      <c r="L345" s="10">
        <v>132972754812538</v>
      </c>
      <c r="M345" s="9">
        <v>107574497910</v>
      </c>
      <c r="N345" s="12">
        <f xml:space="preserve"> Tb_prod[[#This Row],[Costo_Mantenimiento_CLP]] / Tb_prod[[#This Row],[Dias_Operación_Mes]]</f>
        <v>6044216127842.6367</v>
      </c>
      <c r="O345" s="11">
        <f>Tb_prod[[#This Row],[Costo_Operativo_CLP]] / Tb_prod[[#This Row],[Producción_Toneladas]]</f>
        <v>14854191.146681249</v>
      </c>
      <c r="P345">
        <v>147</v>
      </c>
      <c r="Q345">
        <v>22</v>
      </c>
      <c r="R345" s="6">
        <v>46008</v>
      </c>
      <c r="S345" t="str">
        <f t="shared" si="10"/>
        <v>miércoles</v>
      </c>
      <c r="T345" t="str">
        <f t="shared" si="11"/>
        <v>diciembre</v>
      </c>
      <c r="U345">
        <v>96.53</v>
      </c>
      <c r="V345">
        <f xml:space="preserve"> Tb_prod[[#This Row],[Emisiones_CO2_ton]] / Tb_prod[[#This Row],[Cantidad_Empleados]]</f>
        <v>4.9720408163265306</v>
      </c>
      <c r="W345" t="str">
        <f>IF(Tb_prod[[#This Row],[Recuperación_Metal_Porcentaje]]&gt;90,"Alta",IF(Tb_prod[[#This Row],[Recuperación_Metal_Porcentaje]]&gt;75,"Media","Baja"))</f>
        <v>Alta</v>
      </c>
      <c r="X345" t="str">
        <f>IF(AND(Tb_prod[[#This Row],[Consumo_Energia_MWh]]&lt;=2000,Tb_prod[[#This Row],[Riesgo_Ambiental]]="Alto"),"Crítica","Normal")</f>
        <v>Normal</v>
      </c>
    </row>
    <row r="346" spans="1:24">
      <c r="A346">
        <v>331</v>
      </c>
      <c r="B346" t="str">
        <f>VLOOKUP(Tb_prod[[#This Row],[Región]],AUX_REGION[],2,0)</f>
        <v>Minera Romero</v>
      </c>
      <c r="C346" t="s">
        <v>21</v>
      </c>
      <c r="D346" t="s">
        <v>23</v>
      </c>
      <c r="E346" t="s">
        <v>19</v>
      </c>
      <c r="F346" t="s">
        <v>24</v>
      </c>
      <c r="G346" t="s">
        <v>16</v>
      </c>
      <c r="H346" s="23">
        <v>3143.99</v>
      </c>
      <c r="I346" s="23">
        <v>2607.2399999999998</v>
      </c>
      <c r="J346" s="23">
        <v>55622.9</v>
      </c>
      <c r="K346" s="23">
        <v>989.02</v>
      </c>
      <c r="L346" s="10">
        <v>33739850970</v>
      </c>
      <c r="M346" s="9">
        <v>125217452970</v>
      </c>
      <c r="N346" s="12">
        <f xml:space="preserve"> Tb_prod[[#This Row],[Costo_Mantenimiento_CLP]] / Tb_prod[[#This Row],[Dias_Operación_Mes]]</f>
        <v>1466950042.173913</v>
      </c>
      <c r="O346" s="11">
        <f>Tb_prod[[#This Row],[Costo_Operativo_CLP]] / Tb_prod[[#This Row],[Producción_Toneladas]]</f>
        <v>39827560.828755818</v>
      </c>
      <c r="P346">
        <v>255</v>
      </c>
      <c r="Q346">
        <v>23</v>
      </c>
      <c r="R346" s="6">
        <v>45728</v>
      </c>
      <c r="S346" t="str">
        <f t="shared" si="10"/>
        <v>miércoles</v>
      </c>
      <c r="T346" t="str">
        <f t="shared" si="11"/>
        <v>marzo</v>
      </c>
      <c r="U346">
        <v>81.12</v>
      </c>
      <c r="V346">
        <f xml:space="preserve"> Tb_prod[[#This Row],[Emisiones_CO2_ton]] / Tb_prod[[#This Row],[Cantidad_Empleados]]</f>
        <v>3.8785098039215686</v>
      </c>
      <c r="W346" t="str">
        <f>IF(Tb_prod[[#This Row],[Recuperación_Metal_Porcentaje]]&gt;90,"Alta",IF(Tb_prod[[#This Row],[Recuperación_Metal_Porcentaje]]&gt;75,"Media","Baja"))</f>
        <v>Media</v>
      </c>
      <c r="X346" t="str">
        <f>IF(AND(Tb_prod[[#This Row],[Consumo_Energia_MWh]]&lt;=2000,Tb_prod[[#This Row],[Riesgo_Ambiental]]="Alto"),"Crítica","Normal")</f>
        <v>Normal</v>
      </c>
    </row>
    <row r="347" spans="1:24">
      <c r="A347">
        <v>441</v>
      </c>
      <c r="B347" t="str">
        <f>VLOOKUP(Tb_prod[[#This Row],[Región]],AUX_REGION[],2,0)</f>
        <v>Minera del Norte</v>
      </c>
      <c r="C347" t="s">
        <v>27</v>
      </c>
      <c r="D347" t="s">
        <v>18</v>
      </c>
      <c r="E347" t="s">
        <v>19</v>
      </c>
      <c r="F347" t="s">
        <v>24</v>
      </c>
      <c r="G347" t="s">
        <v>22</v>
      </c>
      <c r="H347" s="23">
        <v>4305.58</v>
      </c>
      <c r="I347" s="23">
        <v>1643.38</v>
      </c>
      <c r="J347" s="23">
        <v>55865.52</v>
      </c>
      <c r="K347" s="23">
        <v>961.54</v>
      </c>
      <c r="L347" s="10">
        <v>36932271750</v>
      </c>
      <c r="M347" s="9">
        <v>149878851120</v>
      </c>
      <c r="N347" s="12">
        <f xml:space="preserve"> Tb_prod[[#This Row],[Costo_Mantenimiento_CLP]] / Tb_prod[[#This Row],[Dias_Operación_Mes]]</f>
        <v>1273526612.0689654</v>
      </c>
      <c r="O347" s="11">
        <f>Tb_prod[[#This Row],[Costo_Operativo_CLP]] / Tb_prod[[#This Row],[Producción_Toneladas]]</f>
        <v>34810374.239939801</v>
      </c>
      <c r="P347">
        <v>80</v>
      </c>
      <c r="Q347">
        <v>29</v>
      </c>
      <c r="R347" s="6">
        <v>45527</v>
      </c>
      <c r="S347" t="str">
        <f t="shared" si="10"/>
        <v>viernes</v>
      </c>
      <c r="T347" t="str">
        <f t="shared" si="11"/>
        <v>agosto</v>
      </c>
      <c r="U347">
        <v>84.53</v>
      </c>
      <c r="V347">
        <f xml:space="preserve"> Tb_prod[[#This Row],[Emisiones_CO2_ton]] / Tb_prod[[#This Row],[Cantidad_Empleados]]</f>
        <v>12.01925</v>
      </c>
      <c r="W347" t="str">
        <f>IF(Tb_prod[[#This Row],[Recuperación_Metal_Porcentaje]]&gt;90,"Alta",IF(Tb_prod[[#This Row],[Recuperación_Metal_Porcentaje]]&gt;75,"Media","Baja"))</f>
        <v>Media</v>
      </c>
      <c r="X347" t="str">
        <f>IF(AND(Tb_prod[[#This Row],[Consumo_Energia_MWh]]&lt;=2000,Tb_prod[[#This Row],[Riesgo_Ambiental]]="Alto"),"Crítica","Normal")</f>
        <v>Normal</v>
      </c>
    </row>
    <row r="348" spans="1:24">
      <c r="A348">
        <v>204</v>
      </c>
      <c r="B348" t="str">
        <f>VLOOKUP(Tb_prod[[#This Row],[Región]],AUX_REGION[],2,0)</f>
        <v>Minera del Norte</v>
      </c>
      <c r="C348" t="s">
        <v>27</v>
      </c>
      <c r="D348" t="s">
        <v>18</v>
      </c>
      <c r="E348" t="s">
        <v>14</v>
      </c>
      <c r="F348" t="s">
        <v>15</v>
      </c>
      <c r="G348" t="s">
        <v>16</v>
      </c>
      <c r="H348" s="23">
        <v>7947.99</v>
      </c>
      <c r="I348" s="23">
        <v>1486.22</v>
      </c>
      <c r="J348" s="23">
        <v>55953.06</v>
      </c>
      <c r="K348" s="23">
        <v>1034.0899999999999</v>
      </c>
      <c r="L348" s="10">
        <v>5881077000</v>
      </c>
      <c r="M348" s="9">
        <v>154597016250</v>
      </c>
      <c r="N348" s="12">
        <f xml:space="preserve"> Tb_prod[[#This Row],[Costo_Mantenimiento_CLP]] / Tb_prod[[#This Row],[Dias_Operación_Mes]]</f>
        <v>245044875</v>
      </c>
      <c r="O348" s="11">
        <f>Tb_prod[[#This Row],[Costo_Operativo_CLP]] / Tb_prod[[#This Row],[Producción_Toneladas]]</f>
        <v>19451083.387120519</v>
      </c>
      <c r="P348">
        <v>199</v>
      </c>
      <c r="Q348">
        <v>24</v>
      </c>
      <c r="R348" s="6">
        <v>45700</v>
      </c>
      <c r="S348" t="str">
        <f t="shared" ref="S348:S379" si="12">TEXT(R348,"dddd")</f>
        <v>miércoles</v>
      </c>
      <c r="T348" t="str">
        <f t="shared" si="11"/>
        <v>febrero</v>
      </c>
      <c r="U348">
        <v>73.64</v>
      </c>
      <c r="V348">
        <f xml:space="preserve"> Tb_prod[[#This Row],[Emisiones_CO2_ton]] / Tb_prod[[#This Row],[Cantidad_Empleados]]</f>
        <v>5.1964321608040196</v>
      </c>
      <c r="W348" t="str">
        <f>IF(Tb_prod[[#This Row],[Recuperación_Metal_Porcentaje]]&gt;90,"Alta",IF(Tb_prod[[#This Row],[Recuperación_Metal_Porcentaje]]&gt;75,"Media","Baja"))</f>
        <v>Baja</v>
      </c>
      <c r="X348" t="str">
        <f>IF(AND(Tb_prod[[#This Row],[Consumo_Energia_MWh]]&lt;=2000,Tb_prod[[#This Row],[Riesgo_Ambiental]]="Alto"),"Crítica","Normal")</f>
        <v>Normal</v>
      </c>
    </row>
    <row r="349" spans="1:24">
      <c r="A349">
        <v>395</v>
      </c>
      <c r="B349" t="str">
        <f>VLOOKUP(Tb_prod[[#This Row],[Región]],AUX_REGION[],2,0)</f>
        <v>Minera del Norte</v>
      </c>
      <c r="C349" t="s">
        <v>17</v>
      </c>
      <c r="D349" t="s">
        <v>18</v>
      </c>
      <c r="E349" t="s">
        <v>14</v>
      </c>
      <c r="F349" t="s">
        <v>26</v>
      </c>
      <c r="G349" t="s">
        <v>16</v>
      </c>
      <c r="H349" s="23">
        <v>5933.6</v>
      </c>
      <c r="I349" s="23">
        <v>2813.65</v>
      </c>
      <c r="J349" s="23">
        <v>56049.21</v>
      </c>
      <c r="K349" s="23">
        <v>470.52</v>
      </c>
      <c r="L349" s="10">
        <v>13188295530</v>
      </c>
      <c r="M349" s="9">
        <v>113813351370</v>
      </c>
      <c r="N349" s="12">
        <f xml:space="preserve"> Tb_prod[[#This Row],[Costo_Mantenimiento_CLP]] / Tb_prod[[#This Row],[Dias_Operación_Mes]]</f>
        <v>454768811.37931037</v>
      </c>
      <c r="O349" s="11">
        <f>Tb_prod[[#This Row],[Costo_Operativo_CLP]] / Tb_prod[[#This Row],[Producción_Toneladas]]</f>
        <v>19181163.437036537</v>
      </c>
      <c r="P349">
        <v>293</v>
      </c>
      <c r="Q349">
        <v>29</v>
      </c>
      <c r="R349" s="6">
        <v>45099</v>
      </c>
      <c r="S349" t="str">
        <f t="shared" si="12"/>
        <v>jueves</v>
      </c>
      <c r="T349" t="str">
        <f t="shared" si="11"/>
        <v>junio</v>
      </c>
      <c r="U349">
        <v>80.44</v>
      </c>
      <c r="V349">
        <f xml:space="preserve"> Tb_prod[[#This Row],[Emisiones_CO2_ton]] / Tb_prod[[#This Row],[Cantidad_Empleados]]</f>
        <v>1.6058703071672353</v>
      </c>
      <c r="W349" t="str">
        <f>IF(Tb_prod[[#This Row],[Recuperación_Metal_Porcentaje]]&gt;90,"Alta",IF(Tb_prod[[#This Row],[Recuperación_Metal_Porcentaje]]&gt;75,"Media","Baja"))</f>
        <v>Media</v>
      </c>
      <c r="X349" t="str">
        <f>IF(AND(Tb_prod[[#This Row],[Consumo_Energia_MWh]]&lt;=2000,Tb_prod[[#This Row],[Riesgo_Ambiental]]="Alto"),"Crítica","Normal")</f>
        <v>Normal</v>
      </c>
    </row>
    <row r="350" spans="1:24">
      <c r="A350">
        <v>475</v>
      </c>
      <c r="B350" t="str">
        <f>VLOOKUP(Tb_prod[[#This Row],[Región]],AUX_REGION[],2,0)</f>
        <v>Minera del Norte</v>
      </c>
      <c r="C350" t="s">
        <v>21</v>
      </c>
      <c r="D350" t="s">
        <v>18</v>
      </c>
      <c r="E350" t="s">
        <v>14</v>
      </c>
      <c r="F350" t="s">
        <v>24</v>
      </c>
      <c r="G350" t="s">
        <v>20</v>
      </c>
      <c r="H350" s="23">
        <v>6021.94</v>
      </c>
      <c r="I350" s="23">
        <v>2447.2399999999998</v>
      </c>
      <c r="J350" s="23">
        <v>56058.39</v>
      </c>
      <c r="K350" s="23">
        <v>603.75</v>
      </c>
      <c r="L350" s="10">
        <v>1333116496738.8899</v>
      </c>
      <c r="M350" s="9">
        <v>65274789690</v>
      </c>
      <c r="N350" s="12">
        <f xml:space="preserve"> Tb_prod[[#This Row],[Costo_Mantenimiento_CLP]] / Tb_prod[[#This Row],[Dias_Operación_Mes]]</f>
        <v>57961586814.734344</v>
      </c>
      <c r="O350" s="11">
        <f>Tb_prod[[#This Row],[Costo_Operativo_CLP]] / Tb_prod[[#This Row],[Producción_Toneladas]]</f>
        <v>10839495.19423973</v>
      </c>
      <c r="P350">
        <v>224</v>
      </c>
      <c r="Q350">
        <v>23</v>
      </c>
      <c r="R350" s="6">
        <v>45951</v>
      </c>
      <c r="S350" t="str">
        <f t="shared" si="12"/>
        <v>martes</v>
      </c>
      <c r="T350" t="str">
        <f t="shared" si="11"/>
        <v>octubre</v>
      </c>
      <c r="U350">
        <v>95.04</v>
      </c>
      <c r="V350">
        <f xml:space="preserve"> Tb_prod[[#This Row],[Emisiones_CO2_ton]] / Tb_prod[[#This Row],[Cantidad_Empleados]]</f>
        <v>2.6953125</v>
      </c>
      <c r="W350" t="str">
        <f>IF(Tb_prod[[#This Row],[Recuperación_Metal_Porcentaje]]&gt;90,"Alta",IF(Tb_prod[[#This Row],[Recuperación_Metal_Porcentaje]]&gt;75,"Media","Baja"))</f>
        <v>Alta</v>
      </c>
      <c r="X350" t="str">
        <f>IF(AND(Tb_prod[[#This Row],[Consumo_Energia_MWh]]&lt;=2000,Tb_prod[[#This Row],[Riesgo_Ambiental]]="Alto"),"Crítica","Normal")</f>
        <v>Normal</v>
      </c>
    </row>
    <row r="351" spans="1:24">
      <c r="A351">
        <v>140</v>
      </c>
      <c r="B351" t="str">
        <f>VLOOKUP(Tb_prod[[#This Row],[Región]],AUX_REGION[],2,0)</f>
        <v>Minera Staff</v>
      </c>
      <c r="C351" t="s">
        <v>17</v>
      </c>
      <c r="D351" t="s">
        <v>13</v>
      </c>
      <c r="E351" t="s">
        <v>19</v>
      </c>
      <c r="F351" t="s">
        <v>15</v>
      </c>
      <c r="G351" t="s">
        <v>20</v>
      </c>
      <c r="H351" s="23">
        <v>2161.1799999999998</v>
      </c>
      <c r="I351" s="23">
        <v>2345.2199999999998</v>
      </c>
      <c r="J351" s="23">
        <v>56158.79</v>
      </c>
      <c r="K351" s="23">
        <v>1436.52</v>
      </c>
      <c r="L351" s="10">
        <v>39924659700</v>
      </c>
      <c r="M351" s="9">
        <v>9700058700</v>
      </c>
      <c r="N351" s="12">
        <f xml:space="preserve"> Tb_prod[[#This Row],[Costo_Mantenimiento_CLP]] / Tb_prod[[#This Row],[Dias_Operación_Mes]]</f>
        <v>1735854769.5652175</v>
      </c>
      <c r="O351" s="11">
        <f>Tb_prod[[#This Row],[Costo_Operativo_CLP]] / Tb_prod[[#This Row],[Producción_Toneladas]]</f>
        <v>4488315.9662776822</v>
      </c>
      <c r="P351">
        <v>89</v>
      </c>
      <c r="Q351">
        <v>23</v>
      </c>
      <c r="R351" s="6">
        <v>45922</v>
      </c>
      <c r="S351" t="str">
        <f t="shared" si="12"/>
        <v>lunes</v>
      </c>
      <c r="T351" t="str">
        <f t="shared" si="11"/>
        <v>septiembre</v>
      </c>
      <c r="U351">
        <v>70.72</v>
      </c>
      <c r="V351">
        <f xml:space="preserve"> Tb_prod[[#This Row],[Emisiones_CO2_ton]] / Tb_prod[[#This Row],[Cantidad_Empleados]]</f>
        <v>16.140674157303369</v>
      </c>
      <c r="W351" t="str">
        <f>IF(Tb_prod[[#This Row],[Recuperación_Metal_Porcentaje]]&gt;90,"Alta",IF(Tb_prod[[#This Row],[Recuperación_Metal_Porcentaje]]&gt;75,"Media","Baja"))</f>
        <v>Baja</v>
      </c>
      <c r="X351" t="str">
        <f>IF(AND(Tb_prod[[#This Row],[Consumo_Energia_MWh]]&lt;=2000,Tb_prod[[#This Row],[Riesgo_Ambiental]]="Alto"),"Crítica","Normal")</f>
        <v>Normal</v>
      </c>
    </row>
    <row r="352" spans="1:24">
      <c r="A352">
        <v>157</v>
      </c>
      <c r="B352" t="str">
        <f>VLOOKUP(Tb_prod[[#This Row],[Región]],AUX_REGION[],2,0)</f>
        <v>Minera Staff</v>
      </c>
      <c r="C352" t="s">
        <v>12</v>
      </c>
      <c r="D352" t="s">
        <v>13</v>
      </c>
      <c r="E352" t="s">
        <v>14</v>
      </c>
      <c r="F352" t="s">
        <v>24</v>
      </c>
      <c r="G352" t="s">
        <v>22</v>
      </c>
      <c r="H352" s="23">
        <v>4120.18</v>
      </c>
      <c r="I352" s="23">
        <v>1983.7</v>
      </c>
      <c r="J352" s="23">
        <v>56285.33</v>
      </c>
      <c r="K352" s="23">
        <v>1020.86</v>
      </c>
      <c r="L352" s="10">
        <v>26348525100</v>
      </c>
      <c r="M352" s="9">
        <v>44385230430</v>
      </c>
      <c r="N352" s="12">
        <f xml:space="preserve"> Tb_prod[[#This Row],[Costo_Mantenimiento_CLP]] / Tb_prod[[#This Row],[Dias_Operación_Mes]]</f>
        <v>1254691671.4285715</v>
      </c>
      <c r="O352" s="11">
        <f>Tb_prod[[#This Row],[Costo_Operativo_CLP]] / Tb_prod[[#This Row],[Producción_Toneladas]]</f>
        <v>10772643.532564111</v>
      </c>
      <c r="P352">
        <v>276</v>
      </c>
      <c r="Q352">
        <v>21</v>
      </c>
      <c r="R352" s="6">
        <v>45693</v>
      </c>
      <c r="S352" t="str">
        <f t="shared" si="12"/>
        <v>miércoles</v>
      </c>
      <c r="T352" t="str">
        <f t="shared" si="11"/>
        <v>febrero</v>
      </c>
      <c r="U352">
        <v>94.89</v>
      </c>
      <c r="V352">
        <f xml:space="preserve"> Tb_prod[[#This Row],[Emisiones_CO2_ton]] / Tb_prod[[#This Row],[Cantidad_Empleados]]</f>
        <v>3.6987681159420291</v>
      </c>
      <c r="W352" t="str">
        <f>IF(Tb_prod[[#This Row],[Recuperación_Metal_Porcentaje]]&gt;90,"Alta",IF(Tb_prod[[#This Row],[Recuperación_Metal_Porcentaje]]&gt;75,"Media","Baja"))</f>
        <v>Alta</v>
      </c>
      <c r="X352" t="str">
        <f>IF(AND(Tb_prod[[#This Row],[Consumo_Energia_MWh]]&lt;=2000,Tb_prod[[#This Row],[Riesgo_Ambiental]]="Alto"),"Crítica","Normal")</f>
        <v>Normal</v>
      </c>
    </row>
    <row r="353" spans="1:24">
      <c r="A353">
        <v>190</v>
      </c>
      <c r="B353" t="str">
        <f>VLOOKUP(Tb_prod[[#This Row],[Región]],AUX_REGION[],2,0)</f>
        <v>Minera Romero</v>
      </c>
      <c r="C353" t="s">
        <v>21</v>
      </c>
      <c r="D353" t="s">
        <v>23</v>
      </c>
      <c r="E353" t="s">
        <v>14</v>
      </c>
      <c r="F353" t="s">
        <v>24</v>
      </c>
      <c r="G353" t="s">
        <v>16</v>
      </c>
      <c r="H353" s="23">
        <v>4277.34</v>
      </c>
      <c r="I353" s="23">
        <v>969.5</v>
      </c>
      <c r="J353" s="23">
        <v>56290.45</v>
      </c>
      <c r="K353" s="23">
        <v>253.43</v>
      </c>
      <c r="L353" s="10">
        <v>9934870320</v>
      </c>
      <c r="M353" s="9">
        <v>53317392480</v>
      </c>
      <c r="N353" s="12">
        <f xml:space="preserve"> Tb_prod[[#This Row],[Costo_Mantenimiento_CLP]] / Tb_prod[[#This Row],[Dias_Operación_Mes]]</f>
        <v>431950883.47826087</v>
      </c>
      <c r="O353" s="11">
        <f>Tb_prod[[#This Row],[Costo_Operativo_CLP]] / Tb_prod[[#This Row],[Producción_Toneladas]]</f>
        <v>12465081.681605857</v>
      </c>
      <c r="P353">
        <v>279</v>
      </c>
      <c r="Q353">
        <v>23</v>
      </c>
      <c r="R353" s="6">
        <v>44955</v>
      </c>
      <c r="S353" t="str">
        <f t="shared" si="12"/>
        <v>domingo</v>
      </c>
      <c r="T353" t="str">
        <f t="shared" si="11"/>
        <v>enero</v>
      </c>
      <c r="U353">
        <v>98.5</v>
      </c>
      <c r="V353">
        <f xml:space="preserve"> Tb_prod[[#This Row],[Emisiones_CO2_ton]] / Tb_prod[[#This Row],[Cantidad_Empleados]]</f>
        <v>0.90835125448028675</v>
      </c>
      <c r="W353" t="str">
        <f>IF(Tb_prod[[#This Row],[Recuperación_Metal_Porcentaje]]&gt;90,"Alta",IF(Tb_prod[[#This Row],[Recuperación_Metal_Porcentaje]]&gt;75,"Media","Baja"))</f>
        <v>Alta</v>
      </c>
      <c r="X353" t="str">
        <f>IF(AND(Tb_prod[[#This Row],[Consumo_Energia_MWh]]&lt;=2000,Tb_prod[[#This Row],[Riesgo_Ambiental]]="Alto"),"Crítica","Normal")</f>
        <v>Normal</v>
      </c>
    </row>
    <row r="354" spans="1:24">
      <c r="A354">
        <v>341</v>
      </c>
      <c r="B354" t="str">
        <f>VLOOKUP(Tb_prod[[#This Row],[Región]],AUX_REGION[],2,0)</f>
        <v>Minera del Norte</v>
      </c>
      <c r="C354" t="s">
        <v>27</v>
      </c>
      <c r="D354" t="s">
        <v>18</v>
      </c>
      <c r="E354" t="s">
        <v>19</v>
      </c>
      <c r="F354" t="s">
        <v>15</v>
      </c>
      <c r="G354" t="s">
        <v>20</v>
      </c>
      <c r="H354" s="23">
        <v>5222.05</v>
      </c>
      <c r="I354" s="23">
        <v>1879.49</v>
      </c>
      <c r="J354" s="23">
        <v>56297.67</v>
      </c>
      <c r="K354" s="23">
        <v>564.16</v>
      </c>
      <c r="L354" s="10">
        <v>31161777300</v>
      </c>
      <c r="M354" s="9">
        <v>62707427820</v>
      </c>
      <c r="N354" s="12">
        <f xml:space="preserve"> Tb_prod[[#This Row],[Costo_Mantenimiento_CLP]] / Tb_prod[[#This Row],[Dias_Operación_Mes]]</f>
        <v>1354859882.6086957</v>
      </c>
      <c r="O354" s="11">
        <f>Tb_prod[[#This Row],[Costo_Operativo_CLP]] / Tb_prod[[#This Row],[Producción_Toneladas]]</f>
        <v>12008201.342384696</v>
      </c>
      <c r="P354">
        <v>281</v>
      </c>
      <c r="Q354">
        <v>23</v>
      </c>
      <c r="R354" s="6">
        <v>45923</v>
      </c>
      <c r="S354" t="str">
        <f t="shared" si="12"/>
        <v>martes</v>
      </c>
      <c r="T354" t="str">
        <f t="shared" si="11"/>
        <v>septiembre</v>
      </c>
      <c r="U354">
        <v>75.650000000000006</v>
      </c>
      <c r="V354">
        <f xml:space="preserve"> Tb_prod[[#This Row],[Emisiones_CO2_ton]] / Tb_prod[[#This Row],[Cantidad_Empleados]]</f>
        <v>2.0076868327402133</v>
      </c>
      <c r="W354" t="str">
        <f>IF(Tb_prod[[#This Row],[Recuperación_Metal_Porcentaje]]&gt;90,"Alta",IF(Tb_prod[[#This Row],[Recuperación_Metal_Porcentaje]]&gt;75,"Media","Baja"))</f>
        <v>Media</v>
      </c>
      <c r="X354" t="str">
        <f>IF(AND(Tb_prod[[#This Row],[Consumo_Energia_MWh]]&lt;=2000,Tb_prod[[#This Row],[Riesgo_Ambiental]]="Alto"),"Crítica","Normal")</f>
        <v>Crítica</v>
      </c>
    </row>
    <row r="355" spans="1:24">
      <c r="A355">
        <v>274</v>
      </c>
      <c r="B355" t="str">
        <f>VLOOKUP(Tb_prod[[#This Row],[Región]],AUX_REGION[],2,0)</f>
        <v>Minera Staff</v>
      </c>
      <c r="C355" t="s">
        <v>12</v>
      </c>
      <c r="D355" t="s">
        <v>13</v>
      </c>
      <c r="E355" t="s">
        <v>19</v>
      </c>
      <c r="F355" t="s">
        <v>26</v>
      </c>
      <c r="G355" t="s">
        <v>22</v>
      </c>
      <c r="H355" s="23">
        <v>5618.33</v>
      </c>
      <c r="I355" s="23">
        <v>2525.4299999999998</v>
      </c>
      <c r="J355" s="23">
        <v>56586.21</v>
      </c>
      <c r="K355" s="23">
        <v>632.27</v>
      </c>
      <c r="L355" s="10">
        <v>24407547210</v>
      </c>
      <c r="M355" s="9">
        <v>48284218710</v>
      </c>
      <c r="N355" s="12">
        <f xml:space="preserve"> Tb_prod[[#This Row],[Costo_Mantenimiento_CLP]] / Tb_prod[[#This Row],[Dias_Operación_Mes]]</f>
        <v>1061197704.7826087</v>
      </c>
      <c r="O355" s="11">
        <f>Tb_prod[[#This Row],[Costo_Operativo_CLP]] / Tb_prod[[#This Row],[Producción_Toneladas]]</f>
        <v>8594051.7395738587</v>
      </c>
      <c r="P355">
        <v>266</v>
      </c>
      <c r="Q355">
        <v>23</v>
      </c>
      <c r="R355" s="6">
        <v>45847</v>
      </c>
      <c r="S355" t="str">
        <f t="shared" si="12"/>
        <v>miércoles</v>
      </c>
      <c r="T355" t="str">
        <f t="shared" si="11"/>
        <v>julio</v>
      </c>
      <c r="U355">
        <v>87.53</v>
      </c>
      <c r="V355">
        <f xml:space="preserve"> Tb_prod[[#This Row],[Emisiones_CO2_ton]] / Tb_prod[[#This Row],[Cantidad_Empleados]]</f>
        <v>2.3769548872180453</v>
      </c>
      <c r="W355" t="str">
        <f>IF(Tb_prod[[#This Row],[Recuperación_Metal_Porcentaje]]&gt;90,"Alta",IF(Tb_prod[[#This Row],[Recuperación_Metal_Porcentaje]]&gt;75,"Media","Baja"))</f>
        <v>Media</v>
      </c>
      <c r="X355" t="str">
        <f>IF(AND(Tb_prod[[#This Row],[Consumo_Energia_MWh]]&lt;=2000,Tb_prod[[#This Row],[Riesgo_Ambiental]]="Alto"),"Crítica","Normal")</f>
        <v>Normal</v>
      </c>
    </row>
    <row r="356" spans="1:24">
      <c r="A356">
        <v>412</v>
      </c>
      <c r="B356" t="str">
        <f>VLOOKUP(Tb_prod[[#This Row],[Región]],AUX_REGION[],2,0)</f>
        <v>Minera del Norte</v>
      </c>
      <c r="C356" t="s">
        <v>25</v>
      </c>
      <c r="D356" t="s">
        <v>18</v>
      </c>
      <c r="E356" t="s">
        <v>14</v>
      </c>
      <c r="F356" t="s">
        <v>24</v>
      </c>
      <c r="G356" t="s">
        <v>22</v>
      </c>
      <c r="H356" s="23">
        <v>2885.73</v>
      </c>
      <c r="I356" s="23">
        <v>1394.51</v>
      </c>
      <c r="J356" s="23">
        <v>56644.4</v>
      </c>
      <c r="K356" s="23">
        <v>1141.1500000000001</v>
      </c>
      <c r="L356" s="10">
        <v>17403842700</v>
      </c>
      <c r="M356" s="9">
        <v>115045574580</v>
      </c>
      <c r="N356" s="12">
        <f xml:space="preserve"> Tb_prod[[#This Row],[Costo_Mantenimiento_CLP]] / Tb_prod[[#This Row],[Dias_Operación_Mes]]</f>
        <v>870192135</v>
      </c>
      <c r="O356" s="11">
        <f>Tb_prod[[#This Row],[Costo_Operativo_CLP]] / Tb_prod[[#This Row],[Producción_Toneladas]]</f>
        <v>39867061.22194384</v>
      </c>
      <c r="P356">
        <v>287</v>
      </c>
      <c r="Q356">
        <v>20</v>
      </c>
      <c r="R356" s="6">
        <v>45799</v>
      </c>
      <c r="S356" t="str">
        <f t="shared" si="12"/>
        <v>jueves</v>
      </c>
      <c r="T356" t="str">
        <f t="shared" si="11"/>
        <v>mayo</v>
      </c>
      <c r="U356">
        <v>77.62</v>
      </c>
      <c r="V356">
        <f xml:space="preserve"> Tb_prod[[#This Row],[Emisiones_CO2_ton]] / Tb_prod[[#This Row],[Cantidad_Empleados]]</f>
        <v>3.9761324041811852</v>
      </c>
      <c r="W356" t="str">
        <f>IF(Tb_prod[[#This Row],[Recuperación_Metal_Porcentaje]]&gt;90,"Alta",IF(Tb_prod[[#This Row],[Recuperación_Metal_Porcentaje]]&gt;75,"Media","Baja"))</f>
        <v>Media</v>
      </c>
      <c r="X356" t="str">
        <f>IF(AND(Tb_prod[[#This Row],[Consumo_Energia_MWh]]&lt;=2000,Tb_prod[[#This Row],[Riesgo_Ambiental]]="Alto"),"Crítica","Normal")</f>
        <v>Normal</v>
      </c>
    </row>
    <row r="357" spans="1:24">
      <c r="A357">
        <v>439</v>
      </c>
      <c r="B357" t="str">
        <f>VLOOKUP(Tb_prod[[#This Row],[Región]],AUX_REGION[],2,0)</f>
        <v>Minera Romero</v>
      </c>
      <c r="C357" t="s">
        <v>12</v>
      </c>
      <c r="D357" t="s">
        <v>23</v>
      </c>
      <c r="E357" t="s">
        <v>14</v>
      </c>
      <c r="F357" t="s">
        <v>24</v>
      </c>
      <c r="G357" t="s">
        <v>20</v>
      </c>
      <c r="H357" s="23">
        <v>5868.94</v>
      </c>
      <c r="I357" s="23">
        <v>1798.41</v>
      </c>
      <c r="J357" s="23">
        <v>56645.22</v>
      </c>
      <c r="K357" s="23">
        <v>938.61</v>
      </c>
      <c r="L357" s="10">
        <v>17205730200</v>
      </c>
      <c r="M357" s="9">
        <v>89094302100</v>
      </c>
      <c r="N357" s="12">
        <f xml:space="preserve"> Tb_prod[[#This Row],[Costo_Mantenimiento_CLP]] / Tb_prod[[#This Row],[Dias_Operación_Mes]]</f>
        <v>637249266.66666663</v>
      </c>
      <c r="O357" s="11">
        <f>Tb_prod[[#This Row],[Costo_Operativo_CLP]] / Tb_prod[[#This Row],[Producción_Toneladas]]</f>
        <v>15180646.266617142</v>
      </c>
      <c r="P357">
        <v>233</v>
      </c>
      <c r="Q357">
        <v>27</v>
      </c>
      <c r="R357" s="6">
        <v>45861</v>
      </c>
      <c r="S357" t="str">
        <f t="shared" si="12"/>
        <v>miércoles</v>
      </c>
      <c r="T357" t="str">
        <f t="shared" si="11"/>
        <v>julio</v>
      </c>
      <c r="U357">
        <v>84.31</v>
      </c>
      <c r="V357">
        <f xml:space="preserve"> Tb_prod[[#This Row],[Emisiones_CO2_ton]] / Tb_prod[[#This Row],[Cantidad_Empleados]]</f>
        <v>4.0283690987124467</v>
      </c>
      <c r="W357" t="str">
        <f>IF(Tb_prod[[#This Row],[Recuperación_Metal_Porcentaje]]&gt;90,"Alta",IF(Tb_prod[[#This Row],[Recuperación_Metal_Porcentaje]]&gt;75,"Media","Baja"))</f>
        <v>Media</v>
      </c>
      <c r="X357" t="str">
        <f>IF(AND(Tb_prod[[#This Row],[Consumo_Energia_MWh]]&lt;=2000,Tb_prod[[#This Row],[Riesgo_Ambiental]]="Alto"),"Crítica","Normal")</f>
        <v>Crítica</v>
      </c>
    </row>
    <row r="358" spans="1:24">
      <c r="A358">
        <v>89</v>
      </c>
      <c r="B358" t="str">
        <f>VLOOKUP(Tb_prod[[#This Row],[Región]],AUX_REGION[],2,0)</f>
        <v>Minera Staff</v>
      </c>
      <c r="C358" t="s">
        <v>12</v>
      </c>
      <c r="D358" t="s">
        <v>13</v>
      </c>
      <c r="E358" t="s">
        <v>14</v>
      </c>
      <c r="F358" t="s">
        <v>24</v>
      </c>
      <c r="G358" t="s">
        <v>22</v>
      </c>
      <c r="H358" s="23">
        <v>4285.43</v>
      </c>
      <c r="I358" s="23">
        <v>2282.36</v>
      </c>
      <c r="J358" s="23">
        <v>56666.91</v>
      </c>
      <c r="K358" s="23">
        <v>882.31</v>
      </c>
      <c r="L358" s="10">
        <v>8223009750</v>
      </c>
      <c r="M358" s="9">
        <v>171391903110</v>
      </c>
      <c r="N358" s="12">
        <f xml:space="preserve"> Tb_prod[[#This Row],[Costo_Mantenimiento_CLP]] / Tb_prod[[#This Row],[Dias_Operación_Mes]]</f>
        <v>328920390</v>
      </c>
      <c r="O358" s="11">
        <f>Tb_prod[[#This Row],[Costo_Operativo_CLP]] / Tb_prod[[#This Row],[Producción_Toneladas]]</f>
        <v>39994097.000767715</v>
      </c>
      <c r="P358">
        <v>269</v>
      </c>
      <c r="Q358">
        <v>25</v>
      </c>
      <c r="R358" s="6">
        <v>45127</v>
      </c>
      <c r="S358" t="str">
        <f t="shared" si="12"/>
        <v>jueves</v>
      </c>
      <c r="T358" t="str">
        <f t="shared" si="11"/>
        <v>julio</v>
      </c>
      <c r="U358">
        <v>71.62</v>
      </c>
      <c r="V358">
        <f xml:space="preserve"> Tb_prod[[#This Row],[Emisiones_CO2_ton]] / Tb_prod[[#This Row],[Cantidad_Empleados]]</f>
        <v>3.27996282527881</v>
      </c>
      <c r="W358" t="str">
        <f>IF(Tb_prod[[#This Row],[Recuperación_Metal_Porcentaje]]&gt;90,"Alta",IF(Tb_prod[[#This Row],[Recuperación_Metal_Porcentaje]]&gt;75,"Media","Baja"))</f>
        <v>Baja</v>
      </c>
      <c r="X358" t="str">
        <f>IF(AND(Tb_prod[[#This Row],[Consumo_Energia_MWh]]&lt;=2000,Tb_prod[[#This Row],[Riesgo_Ambiental]]="Alto"),"Crítica","Normal")</f>
        <v>Normal</v>
      </c>
    </row>
    <row r="359" spans="1:24">
      <c r="A359">
        <v>318</v>
      </c>
      <c r="B359" t="str">
        <f>VLOOKUP(Tb_prod[[#This Row],[Región]],AUX_REGION[],2,0)</f>
        <v>Minera Staff</v>
      </c>
      <c r="C359" t="s">
        <v>25</v>
      </c>
      <c r="D359" t="s">
        <v>13</v>
      </c>
      <c r="E359" t="s">
        <v>14</v>
      </c>
      <c r="F359" t="s">
        <v>15</v>
      </c>
      <c r="G359" t="s">
        <v>20</v>
      </c>
      <c r="H359" s="23">
        <v>3110.12</v>
      </c>
      <c r="I359" s="23">
        <v>2752.61</v>
      </c>
      <c r="J359" s="23">
        <v>56706.87</v>
      </c>
      <c r="K359" s="23">
        <v>1013.16</v>
      </c>
      <c r="L359" s="10">
        <v>3362881950</v>
      </c>
      <c r="M359" s="9">
        <v>93354152670</v>
      </c>
      <c r="N359" s="12">
        <f xml:space="preserve"> Tb_prod[[#This Row],[Costo_Mantenimiento_CLP]] / Tb_prod[[#This Row],[Dias_Operación_Mes]]</f>
        <v>134515278</v>
      </c>
      <c r="O359" s="11">
        <f>Tb_prod[[#This Row],[Costo_Operativo_CLP]] / Tb_prod[[#This Row],[Producción_Toneladas]]</f>
        <v>30016254.250639848</v>
      </c>
      <c r="P359">
        <v>160</v>
      </c>
      <c r="Q359">
        <v>25</v>
      </c>
      <c r="R359" s="6">
        <v>45296</v>
      </c>
      <c r="S359" t="str">
        <f t="shared" si="12"/>
        <v>viernes</v>
      </c>
      <c r="T359" t="str">
        <f t="shared" si="11"/>
        <v>enero</v>
      </c>
      <c r="U359">
        <v>86.92</v>
      </c>
      <c r="V359">
        <f xml:space="preserve"> Tb_prod[[#This Row],[Emisiones_CO2_ton]] / Tb_prod[[#This Row],[Cantidad_Empleados]]</f>
        <v>6.3322500000000002</v>
      </c>
      <c r="W359" t="str">
        <f>IF(Tb_prod[[#This Row],[Recuperación_Metal_Porcentaje]]&gt;90,"Alta",IF(Tb_prod[[#This Row],[Recuperación_Metal_Porcentaje]]&gt;75,"Media","Baja"))</f>
        <v>Media</v>
      </c>
      <c r="X359" t="str">
        <f>IF(AND(Tb_prod[[#This Row],[Consumo_Energia_MWh]]&lt;=2000,Tb_prod[[#This Row],[Riesgo_Ambiental]]="Alto"),"Crítica","Normal")</f>
        <v>Normal</v>
      </c>
    </row>
    <row r="360" spans="1:24">
      <c r="A360">
        <v>49</v>
      </c>
      <c r="B360" t="str">
        <f>VLOOKUP(Tb_prod[[#This Row],[Región]],AUX_REGION[],2,0)</f>
        <v>Minera Staff</v>
      </c>
      <c r="C360" t="s">
        <v>25</v>
      </c>
      <c r="D360" t="s">
        <v>13</v>
      </c>
      <c r="E360" t="s">
        <v>19</v>
      </c>
      <c r="F360" t="s">
        <v>24</v>
      </c>
      <c r="G360" t="s">
        <v>16</v>
      </c>
      <c r="H360" s="23">
        <v>5119.49</v>
      </c>
      <c r="I360" s="23">
        <v>2073.94</v>
      </c>
      <c r="J360" s="23">
        <v>56730.71</v>
      </c>
      <c r="K360" s="23">
        <v>889.53</v>
      </c>
      <c r="L360" s="10">
        <v>1982945880</v>
      </c>
      <c r="M360" s="9">
        <v>153856102500</v>
      </c>
      <c r="N360" s="12">
        <f xml:space="preserve"> Tb_prod[[#This Row],[Costo_Mantenimiento_CLP]] / Tb_prod[[#This Row],[Dias_Operación_Mes]]</f>
        <v>73442440</v>
      </c>
      <c r="O360" s="11">
        <f>Tb_prod[[#This Row],[Costo_Operativo_CLP]] / Tb_prod[[#This Row],[Producción_Toneladas]]</f>
        <v>30053013.581430964</v>
      </c>
      <c r="P360">
        <v>89</v>
      </c>
      <c r="Q360">
        <v>27</v>
      </c>
      <c r="R360" s="6">
        <v>45088</v>
      </c>
      <c r="S360" t="str">
        <f t="shared" si="12"/>
        <v>domingo</v>
      </c>
      <c r="T360" t="str">
        <f t="shared" si="11"/>
        <v>junio</v>
      </c>
      <c r="U360">
        <v>74.48</v>
      </c>
      <c r="V360">
        <f xml:space="preserve"> Tb_prod[[#This Row],[Emisiones_CO2_ton]] / Tb_prod[[#This Row],[Cantidad_Empleados]]</f>
        <v>9.9947191011235947</v>
      </c>
      <c r="W360" t="str">
        <f>IF(Tb_prod[[#This Row],[Recuperación_Metal_Porcentaje]]&gt;90,"Alta",IF(Tb_prod[[#This Row],[Recuperación_Metal_Porcentaje]]&gt;75,"Media","Baja"))</f>
        <v>Baja</v>
      </c>
      <c r="X360" t="str">
        <f>IF(AND(Tb_prod[[#This Row],[Consumo_Energia_MWh]]&lt;=2000,Tb_prod[[#This Row],[Riesgo_Ambiental]]="Alto"),"Crítica","Normal")</f>
        <v>Normal</v>
      </c>
    </row>
    <row r="361" spans="1:24">
      <c r="A361">
        <v>64</v>
      </c>
      <c r="B361" t="str">
        <f>VLOOKUP(Tb_prod[[#This Row],[Región]],AUX_REGION[],2,0)</f>
        <v>Minera del Norte</v>
      </c>
      <c r="C361" t="s">
        <v>25</v>
      </c>
      <c r="D361" t="s">
        <v>18</v>
      </c>
      <c r="E361" t="s">
        <v>19</v>
      </c>
      <c r="F361" t="s">
        <v>15</v>
      </c>
      <c r="G361" t="s">
        <v>16</v>
      </c>
      <c r="H361" s="23">
        <v>3220.5</v>
      </c>
      <c r="I361" s="23">
        <v>1418.29</v>
      </c>
      <c r="J361" s="23">
        <v>56854.97</v>
      </c>
      <c r="K361" s="23">
        <v>903.03</v>
      </c>
      <c r="L361" s="10">
        <v>33748770060</v>
      </c>
      <c r="M361" s="9">
        <v>144900545040</v>
      </c>
      <c r="N361" s="12">
        <f xml:space="preserve"> Tb_prod[[#This Row],[Costo_Mantenimiento_CLP]] / Tb_prod[[#This Row],[Dias_Operación_Mes]]</f>
        <v>1298029617.6923077</v>
      </c>
      <c r="O361" s="11">
        <f>Tb_prod[[#This Row],[Costo_Operativo_CLP]] / Tb_prod[[#This Row],[Producción_Toneladas]]</f>
        <v>44993182.748020492</v>
      </c>
      <c r="P361">
        <v>77</v>
      </c>
      <c r="Q361">
        <v>26</v>
      </c>
      <c r="R361" s="6">
        <v>45573</v>
      </c>
      <c r="S361" t="str">
        <f t="shared" si="12"/>
        <v>martes</v>
      </c>
      <c r="T361" t="str">
        <f t="shared" si="11"/>
        <v>octubre</v>
      </c>
      <c r="U361">
        <v>70.55</v>
      </c>
      <c r="V361">
        <f xml:space="preserve"> Tb_prod[[#This Row],[Emisiones_CO2_ton]] / Tb_prod[[#This Row],[Cantidad_Empleados]]</f>
        <v>11.727662337662338</v>
      </c>
      <c r="W361" t="str">
        <f>IF(Tb_prod[[#This Row],[Recuperación_Metal_Porcentaje]]&gt;90,"Alta",IF(Tb_prod[[#This Row],[Recuperación_Metal_Porcentaje]]&gt;75,"Media","Baja"))</f>
        <v>Baja</v>
      </c>
      <c r="X361" t="str">
        <f>IF(AND(Tb_prod[[#This Row],[Consumo_Energia_MWh]]&lt;=2000,Tb_prod[[#This Row],[Riesgo_Ambiental]]="Alto"),"Crítica","Normal")</f>
        <v>Normal</v>
      </c>
    </row>
    <row r="362" spans="1:24">
      <c r="A362">
        <v>355</v>
      </c>
      <c r="B362" t="str">
        <f>VLOOKUP(Tb_prod[[#This Row],[Región]],AUX_REGION[],2,0)</f>
        <v>Minera Romero</v>
      </c>
      <c r="C362" t="s">
        <v>25</v>
      </c>
      <c r="D362" t="s">
        <v>23</v>
      </c>
      <c r="E362" t="s">
        <v>14</v>
      </c>
      <c r="F362" t="s">
        <v>26</v>
      </c>
      <c r="G362" t="s">
        <v>20</v>
      </c>
      <c r="H362" s="23">
        <v>5560.09</v>
      </c>
      <c r="I362" s="23">
        <v>2949.67</v>
      </c>
      <c r="J362" s="23">
        <v>56881.68</v>
      </c>
      <c r="K362" s="23">
        <v>350.36</v>
      </c>
      <c r="L362" s="10">
        <v>36920322270</v>
      </c>
      <c r="M362" s="9">
        <v>145269658260</v>
      </c>
      <c r="N362" s="12">
        <f xml:space="preserve"> Tb_prod[[#This Row],[Costo_Mantenimiento_CLP]] / Tb_prod[[#This Row],[Dias_Operación_Mes]]</f>
        <v>1273114561.0344827</v>
      </c>
      <c r="O362" s="11">
        <f>Tb_prod[[#This Row],[Costo_Operativo_CLP]] / Tb_prod[[#This Row],[Producción_Toneladas]]</f>
        <v>26127213.455177885</v>
      </c>
      <c r="P362">
        <v>134</v>
      </c>
      <c r="Q362">
        <v>29</v>
      </c>
      <c r="R362" s="6">
        <v>45311</v>
      </c>
      <c r="S362" t="str">
        <f t="shared" si="12"/>
        <v>sábado</v>
      </c>
      <c r="T362" t="str">
        <f t="shared" si="11"/>
        <v>enero</v>
      </c>
      <c r="U362">
        <v>70.8</v>
      </c>
      <c r="V362">
        <f xml:space="preserve"> Tb_prod[[#This Row],[Emisiones_CO2_ton]] / Tb_prod[[#This Row],[Cantidad_Empleados]]</f>
        <v>2.6146268656716418</v>
      </c>
      <c r="W362" t="str">
        <f>IF(Tb_prod[[#This Row],[Recuperación_Metal_Porcentaje]]&gt;90,"Alta",IF(Tb_prod[[#This Row],[Recuperación_Metal_Porcentaje]]&gt;75,"Media","Baja"))</f>
        <v>Baja</v>
      </c>
      <c r="X362" t="str">
        <f>IF(AND(Tb_prod[[#This Row],[Consumo_Energia_MWh]]&lt;=2000,Tb_prod[[#This Row],[Riesgo_Ambiental]]="Alto"),"Crítica","Normal")</f>
        <v>Normal</v>
      </c>
    </row>
    <row r="363" spans="1:24">
      <c r="A363">
        <v>385</v>
      </c>
      <c r="B363" t="str">
        <f>VLOOKUP(Tb_prod[[#This Row],[Región]],AUX_REGION[],2,0)</f>
        <v>Minera Staff</v>
      </c>
      <c r="C363" t="s">
        <v>17</v>
      </c>
      <c r="D363" t="s">
        <v>13</v>
      </c>
      <c r="E363" t="s">
        <v>14</v>
      </c>
      <c r="F363" t="s">
        <v>24</v>
      </c>
      <c r="G363" t="s">
        <v>22</v>
      </c>
      <c r="H363" s="23">
        <v>8318.2900000000009</v>
      </c>
      <c r="I363" s="23">
        <v>3211.9</v>
      </c>
      <c r="J363" s="23">
        <v>56891.85</v>
      </c>
      <c r="K363" s="23">
        <v>1169.71</v>
      </c>
      <c r="L363" s="10">
        <v>41975966160</v>
      </c>
      <c r="M363" s="9">
        <v>89038743840</v>
      </c>
      <c r="N363" s="12">
        <f xml:space="preserve"> Tb_prod[[#This Row],[Costo_Mantenimiento_CLP]] / Tb_prod[[#This Row],[Dias_Operación_Mes]]</f>
        <v>1447447108.9655173</v>
      </c>
      <c r="O363" s="11">
        <f>Tb_prod[[#This Row],[Costo_Operativo_CLP]] / Tb_prod[[#This Row],[Producción_Toneladas]]</f>
        <v>10703972.071182899</v>
      </c>
      <c r="P363">
        <v>55</v>
      </c>
      <c r="Q363">
        <v>29</v>
      </c>
      <c r="R363" s="6">
        <v>45775</v>
      </c>
      <c r="S363" t="str">
        <f t="shared" si="12"/>
        <v>lunes</v>
      </c>
      <c r="T363" t="str">
        <f t="shared" si="11"/>
        <v>abril</v>
      </c>
      <c r="U363">
        <v>95.59</v>
      </c>
      <c r="V363">
        <f xml:space="preserve"> Tb_prod[[#This Row],[Emisiones_CO2_ton]] / Tb_prod[[#This Row],[Cantidad_Empleados]]</f>
        <v>21.267454545454545</v>
      </c>
      <c r="W363" t="str">
        <f>IF(Tb_prod[[#This Row],[Recuperación_Metal_Porcentaje]]&gt;90,"Alta",IF(Tb_prod[[#This Row],[Recuperación_Metal_Porcentaje]]&gt;75,"Media","Baja"))</f>
        <v>Alta</v>
      </c>
      <c r="X363" t="str">
        <f>IF(AND(Tb_prod[[#This Row],[Consumo_Energia_MWh]]&lt;=2000,Tb_prod[[#This Row],[Riesgo_Ambiental]]="Alto"),"Crítica","Normal")</f>
        <v>Normal</v>
      </c>
    </row>
    <row r="364" spans="1:24">
      <c r="A364">
        <v>474</v>
      </c>
      <c r="B364" t="str">
        <f>VLOOKUP(Tb_prod[[#This Row],[Región]],AUX_REGION[],2,0)</f>
        <v>Minera Staff</v>
      </c>
      <c r="C364" t="s">
        <v>17</v>
      </c>
      <c r="D364" t="s">
        <v>13</v>
      </c>
      <c r="E364" t="s">
        <v>14</v>
      </c>
      <c r="F364" t="s">
        <v>15</v>
      </c>
      <c r="G364" t="s">
        <v>16</v>
      </c>
      <c r="H364" s="23">
        <v>6806.1</v>
      </c>
      <c r="I364" s="23">
        <v>2316.98</v>
      </c>
      <c r="J364" s="23">
        <v>56898.43</v>
      </c>
      <c r="K364" s="23">
        <v>1383.5</v>
      </c>
      <c r="L364" s="10">
        <v>12907475100</v>
      </c>
      <c r="M364" s="9">
        <v>71113836240</v>
      </c>
      <c r="N364" s="12">
        <f xml:space="preserve"> Tb_prod[[#This Row],[Costo_Mantenimiento_CLP]] / Tb_prod[[#This Row],[Dias_Operación_Mes]]</f>
        <v>516299004</v>
      </c>
      <c r="O364" s="11">
        <f>Tb_prod[[#This Row],[Costo_Operativo_CLP]] / Tb_prod[[#This Row],[Producción_Toneladas]]</f>
        <v>10448544.135407941</v>
      </c>
      <c r="P364">
        <v>75</v>
      </c>
      <c r="Q364">
        <v>25</v>
      </c>
      <c r="R364" s="6">
        <v>45613</v>
      </c>
      <c r="S364" t="str">
        <f t="shared" si="12"/>
        <v>domingo</v>
      </c>
      <c r="T364" t="str">
        <f t="shared" si="11"/>
        <v>noviembre</v>
      </c>
      <c r="U364">
        <v>71.47</v>
      </c>
      <c r="V364">
        <f xml:space="preserve"> Tb_prod[[#This Row],[Emisiones_CO2_ton]] / Tb_prod[[#This Row],[Cantidad_Empleados]]</f>
        <v>18.446666666666665</v>
      </c>
      <c r="W364" t="str">
        <f>IF(Tb_prod[[#This Row],[Recuperación_Metal_Porcentaje]]&gt;90,"Alta",IF(Tb_prod[[#This Row],[Recuperación_Metal_Porcentaje]]&gt;75,"Media","Baja"))</f>
        <v>Baja</v>
      </c>
      <c r="X364" t="str">
        <f>IF(AND(Tb_prod[[#This Row],[Consumo_Energia_MWh]]&lt;=2000,Tb_prod[[#This Row],[Riesgo_Ambiental]]="Alto"),"Crítica","Normal")</f>
        <v>Normal</v>
      </c>
    </row>
    <row r="365" spans="1:24">
      <c r="A365">
        <v>446</v>
      </c>
      <c r="B365" t="str">
        <f>VLOOKUP(Tb_prod[[#This Row],[Región]],AUX_REGION[],2,0)</f>
        <v>Minera Romero</v>
      </c>
      <c r="C365" t="s">
        <v>12</v>
      </c>
      <c r="D365" t="s">
        <v>23</v>
      </c>
      <c r="E365" t="s">
        <v>19</v>
      </c>
      <c r="F365" t="s">
        <v>15</v>
      </c>
      <c r="G365" t="s">
        <v>20</v>
      </c>
      <c r="H365" s="23">
        <v>5562.61</v>
      </c>
      <c r="I365" s="23">
        <v>2132.04</v>
      </c>
      <c r="J365" s="23">
        <v>57015.68</v>
      </c>
      <c r="K365" s="23">
        <v>819.19</v>
      </c>
      <c r="L365" s="10">
        <v>42538212360</v>
      </c>
      <c r="M365" s="9">
        <v>9922140000</v>
      </c>
      <c r="N365" s="12">
        <f xml:space="preserve"> Tb_prod[[#This Row],[Costo_Mantenimiento_CLP]] / Tb_prod[[#This Row],[Dias_Operación_Mes]]</f>
        <v>1849487493.9130435</v>
      </c>
      <c r="O365" s="11">
        <f>Tb_prod[[#This Row],[Costo_Operativo_CLP]] / Tb_prod[[#This Row],[Producción_Toneladas]]</f>
        <v>1783720.2320493439</v>
      </c>
      <c r="P365">
        <v>74</v>
      </c>
      <c r="Q365">
        <v>23</v>
      </c>
      <c r="R365" s="6">
        <v>45514</v>
      </c>
      <c r="S365" t="str">
        <f t="shared" si="12"/>
        <v>sábado</v>
      </c>
      <c r="T365" t="str">
        <f t="shared" si="11"/>
        <v>agosto</v>
      </c>
      <c r="U365">
        <v>82.16</v>
      </c>
      <c r="V365">
        <f xml:space="preserve"> Tb_prod[[#This Row],[Emisiones_CO2_ton]] / Tb_prod[[#This Row],[Cantidad_Empleados]]</f>
        <v>11.070135135135136</v>
      </c>
      <c r="W365" t="str">
        <f>IF(Tb_prod[[#This Row],[Recuperación_Metal_Porcentaje]]&gt;90,"Alta",IF(Tb_prod[[#This Row],[Recuperación_Metal_Porcentaje]]&gt;75,"Media","Baja"))</f>
        <v>Media</v>
      </c>
      <c r="X365" t="str">
        <f>IF(AND(Tb_prod[[#This Row],[Consumo_Energia_MWh]]&lt;=2000,Tb_prod[[#This Row],[Riesgo_Ambiental]]="Alto"),"Crítica","Normal")</f>
        <v>Normal</v>
      </c>
    </row>
    <row r="366" spans="1:24">
      <c r="A366">
        <v>180</v>
      </c>
      <c r="B366" t="str">
        <f>VLOOKUP(Tb_prod[[#This Row],[Región]],AUX_REGION[],2,0)</f>
        <v>Minera del Norte</v>
      </c>
      <c r="C366" t="s">
        <v>27</v>
      </c>
      <c r="D366" t="s">
        <v>18</v>
      </c>
      <c r="E366" t="s">
        <v>19</v>
      </c>
      <c r="F366" t="s">
        <v>24</v>
      </c>
      <c r="G366" t="s">
        <v>16</v>
      </c>
      <c r="H366" s="23">
        <v>3242.99</v>
      </c>
      <c r="I366" s="23">
        <v>2681.29</v>
      </c>
      <c r="J366" s="23">
        <v>57105.22</v>
      </c>
      <c r="K366" s="23">
        <v>595.14</v>
      </c>
      <c r="L366" s="10">
        <v>6181219260</v>
      </c>
      <c r="M366" s="9">
        <v>803995583220</v>
      </c>
      <c r="N366" s="12">
        <f xml:space="preserve"> Tb_prod[[#This Row],[Costo_Mantenimiento_CLP]] / Tb_prod[[#This Row],[Dias_Operación_Mes]]</f>
        <v>268748663.47826087</v>
      </c>
      <c r="O366" s="11">
        <f>Tb_prod[[#This Row],[Costo_Operativo_CLP]] / Tb_prod[[#This Row],[Producción_Toneladas]]</f>
        <v>247917996.42305404</v>
      </c>
      <c r="P366">
        <v>63</v>
      </c>
      <c r="Q366">
        <v>23</v>
      </c>
      <c r="R366" s="6">
        <v>45399</v>
      </c>
      <c r="S366" t="str">
        <f t="shared" si="12"/>
        <v>miércoles</v>
      </c>
      <c r="T366" t="str">
        <f t="shared" si="11"/>
        <v>abril</v>
      </c>
      <c r="U366">
        <v>85.72</v>
      </c>
      <c r="V366">
        <f xml:space="preserve"> Tb_prod[[#This Row],[Emisiones_CO2_ton]] / Tb_prod[[#This Row],[Cantidad_Empleados]]</f>
        <v>9.4466666666666672</v>
      </c>
      <c r="W366" t="str">
        <f>IF(Tb_prod[[#This Row],[Recuperación_Metal_Porcentaje]]&gt;90,"Alta",IF(Tb_prod[[#This Row],[Recuperación_Metal_Porcentaje]]&gt;75,"Media","Baja"))</f>
        <v>Media</v>
      </c>
      <c r="X366" t="str">
        <f>IF(AND(Tb_prod[[#This Row],[Consumo_Energia_MWh]]&lt;=2000,Tb_prod[[#This Row],[Riesgo_Ambiental]]="Alto"),"Crítica","Normal")</f>
        <v>Normal</v>
      </c>
    </row>
    <row r="367" spans="1:24">
      <c r="A367">
        <v>366</v>
      </c>
      <c r="B367" t="str">
        <f>VLOOKUP(Tb_prod[[#This Row],[Región]],AUX_REGION[],2,0)</f>
        <v>Minera Staff</v>
      </c>
      <c r="C367" t="s">
        <v>17</v>
      </c>
      <c r="D367" t="s">
        <v>13</v>
      </c>
      <c r="E367" t="s">
        <v>19</v>
      </c>
      <c r="F367" t="s">
        <v>26</v>
      </c>
      <c r="G367" t="s">
        <v>22</v>
      </c>
      <c r="H367" s="23">
        <v>6396.51</v>
      </c>
      <c r="I367" s="23">
        <v>2068.92</v>
      </c>
      <c r="J367" s="23">
        <v>57303.02</v>
      </c>
      <c r="K367" s="23">
        <v>560.14</v>
      </c>
      <c r="L367" s="10">
        <v>43977910140</v>
      </c>
      <c r="M367" s="9">
        <v>709108340100</v>
      </c>
      <c r="N367" s="12">
        <f xml:space="preserve"> Tb_prod[[#This Row],[Costo_Mantenimiento_CLP]] / Tb_prod[[#This Row],[Dias_Operación_Mes]]</f>
        <v>1832412922.5</v>
      </c>
      <c r="O367" s="11">
        <f>Tb_prod[[#This Row],[Costo_Operativo_CLP]] / Tb_prod[[#This Row],[Producción_Toneladas]]</f>
        <v>110858630.73769915</v>
      </c>
      <c r="P367">
        <v>292</v>
      </c>
      <c r="Q367">
        <v>24</v>
      </c>
      <c r="R367" s="6">
        <v>45855</v>
      </c>
      <c r="S367" t="str">
        <f t="shared" si="12"/>
        <v>jueves</v>
      </c>
      <c r="T367" t="str">
        <f t="shared" si="11"/>
        <v>julio</v>
      </c>
      <c r="U367">
        <v>98.87</v>
      </c>
      <c r="V367">
        <f xml:space="preserve"> Tb_prod[[#This Row],[Emisiones_CO2_ton]] / Tb_prod[[#This Row],[Cantidad_Empleados]]</f>
        <v>1.9182876712328767</v>
      </c>
      <c r="W367" t="str">
        <f>IF(Tb_prod[[#This Row],[Recuperación_Metal_Porcentaje]]&gt;90,"Alta",IF(Tb_prod[[#This Row],[Recuperación_Metal_Porcentaje]]&gt;75,"Media","Baja"))</f>
        <v>Alta</v>
      </c>
      <c r="X367" t="str">
        <f>IF(AND(Tb_prod[[#This Row],[Consumo_Energia_MWh]]&lt;=2000,Tb_prod[[#This Row],[Riesgo_Ambiental]]="Alto"),"Crítica","Normal")</f>
        <v>Normal</v>
      </c>
    </row>
    <row r="368" spans="1:24">
      <c r="A368">
        <v>198</v>
      </c>
      <c r="B368" t="str">
        <f>VLOOKUP(Tb_prod[[#This Row],[Región]],AUX_REGION[],2,0)</f>
        <v>Minera del Norte</v>
      </c>
      <c r="C368" t="s">
        <v>27</v>
      </c>
      <c r="D368" t="s">
        <v>18</v>
      </c>
      <c r="E368" t="s">
        <v>14</v>
      </c>
      <c r="F368" t="s">
        <v>24</v>
      </c>
      <c r="G368" t="s">
        <v>20</v>
      </c>
      <c r="H368" s="23">
        <v>2630.42</v>
      </c>
      <c r="I368" s="23">
        <v>1435.91</v>
      </c>
      <c r="J368" s="23">
        <v>57320.71</v>
      </c>
      <c r="K368" s="23">
        <v>1408.79</v>
      </c>
      <c r="L368" s="10">
        <v>39903908220</v>
      </c>
      <c r="M368" s="9">
        <v>112103969850</v>
      </c>
      <c r="N368" s="12">
        <f xml:space="preserve"> Tb_prod[[#This Row],[Costo_Mantenimiento_CLP]] / Tb_prod[[#This Row],[Dias_Operación_Mes]]</f>
        <v>1995195411</v>
      </c>
      <c r="O368" s="11">
        <f>Tb_prod[[#This Row],[Costo_Operativo_CLP]] / Tb_prod[[#This Row],[Producción_Toneladas]]</f>
        <v>42618277.632469341</v>
      </c>
      <c r="P368">
        <v>205</v>
      </c>
      <c r="Q368">
        <v>20</v>
      </c>
      <c r="R368" s="6">
        <v>45195</v>
      </c>
      <c r="S368" t="str">
        <f t="shared" si="12"/>
        <v>martes</v>
      </c>
      <c r="T368" t="str">
        <f t="shared" si="11"/>
        <v>septiembre</v>
      </c>
      <c r="U368">
        <v>79.91</v>
      </c>
      <c r="V368">
        <f xml:space="preserve"> Tb_prod[[#This Row],[Emisiones_CO2_ton]] / Tb_prod[[#This Row],[Cantidad_Empleados]]</f>
        <v>6.8721463414634147</v>
      </c>
      <c r="W368" t="str">
        <f>IF(Tb_prod[[#This Row],[Recuperación_Metal_Porcentaje]]&gt;90,"Alta",IF(Tb_prod[[#This Row],[Recuperación_Metal_Porcentaje]]&gt;75,"Media","Baja"))</f>
        <v>Media</v>
      </c>
      <c r="X368" t="str">
        <f>IF(AND(Tb_prod[[#This Row],[Consumo_Energia_MWh]]&lt;=2000,Tb_prod[[#This Row],[Riesgo_Ambiental]]="Alto"),"Crítica","Normal")</f>
        <v>Crítica</v>
      </c>
    </row>
    <row r="369" spans="1:24">
      <c r="A369">
        <v>17</v>
      </c>
      <c r="B369" t="str">
        <f>VLOOKUP(Tb_prod[[#This Row],[Región]],AUX_REGION[],2,0)</f>
        <v>Minera Romero</v>
      </c>
      <c r="C369" t="s">
        <v>12</v>
      </c>
      <c r="D369" t="s">
        <v>23</v>
      </c>
      <c r="E369" t="s">
        <v>14</v>
      </c>
      <c r="F369" t="s">
        <v>26</v>
      </c>
      <c r="G369" t="s">
        <v>16</v>
      </c>
      <c r="H369" s="23">
        <v>5326.26</v>
      </c>
      <c r="I369" s="23">
        <v>2255.11</v>
      </c>
      <c r="J369" s="23">
        <v>57356.71</v>
      </c>
      <c r="K369" s="23">
        <v>1256.1199999999999</v>
      </c>
      <c r="L369" s="10">
        <v>37058622840</v>
      </c>
      <c r="M369" s="9">
        <v>125478500760</v>
      </c>
      <c r="N369" s="12">
        <f xml:space="preserve"> Tb_prod[[#This Row],[Costo_Mantenimiento_CLP]] / Tb_prod[[#This Row],[Dias_Operación_Mes]]</f>
        <v>1425331647.6923077</v>
      </c>
      <c r="O369" s="11">
        <f>Tb_prod[[#This Row],[Costo_Operativo_CLP]] / Tb_prod[[#This Row],[Producción_Toneladas]]</f>
        <v>23558463.304457534</v>
      </c>
      <c r="P369">
        <v>61</v>
      </c>
      <c r="Q369">
        <v>26</v>
      </c>
      <c r="R369" s="6">
        <v>45179</v>
      </c>
      <c r="S369" t="str">
        <f t="shared" si="12"/>
        <v>domingo</v>
      </c>
      <c r="T369" t="str">
        <f t="shared" si="11"/>
        <v>septiembre</v>
      </c>
      <c r="U369">
        <v>84.92</v>
      </c>
      <c r="V369">
        <f xml:space="preserve"> Tb_prod[[#This Row],[Emisiones_CO2_ton]] / Tb_prod[[#This Row],[Cantidad_Empleados]]</f>
        <v>20.592131147540982</v>
      </c>
      <c r="W369" t="str">
        <f>IF(Tb_prod[[#This Row],[Recuperación_Metal_Porcentaje]]&gt;90,"Alta",IF(Tb_prod[[#This Row],[Recuperación_Metal_Porcentaje]]&gt;75,"Media","Baja"))</f>
        <v>Media</v>
      </c>
      <c r="X369" t="str">
        <f>IF(AND(Tb_prod[[#This Row],[Consumo_Energia_MWh]]&lt;=2000,Tb_prod[[#This Row],[Riesgo_Ambiental]]="Alto"),"Crítica","Normal")</f>
        <v>Normal</v>
      </c>
    </row>
    <row r="370" spans="1:24">
      <c r="A370">
        <v>99</v>
      </c>
      <c r="B370" t="str">
        <f>VLOOKUP(Tb_prod[[#This Row],[Región]],AUX_REGION[],2,0)</f>
        <v>Minera Romero</v>
      </c>
      <c r="C370" t="s">
        <v>25</v>
      </c>
      <c r="D370" t="s">
        <v>23</v>
      </c>
      <c r="E370" t="s">
        <v>14</v>
      </c>
      <c r="F370" t="s">
        <v>24</v>
      </c>
      <c r="G370" t="s">
        <v>16</v>
      </c>
      <c r="H370" s="23">
        <v>2451.4899999999998</v>
      </c>
      <c r="I370" s="23">
        <v>1860.4</v>
      </c>
      <c r="J370" s="23">
        <v>57501.79</v>
      </c>
      <c r="K370" s="23">
        <v>781.44</v>
      </c>
      <c r="L370" s="10">
        <v>42999331770</v>
      </c>
      <c r="M370" s="9">
        <v>89426597850</v>
      </c>
      <c r="N370" s="12">
        <f xml:space="preserve"> Tb_prod[[#This Row],[Costo_Mantenimiento_CLP]] / Tb_prod[[#This Row],[Dias_Operación_Mes]]</f>
        <v>1954515080.4545455</v>
      </c>
      <c r="O370" s="11">
        <f>Tb_prod[[#This Row],[Costo_Operativo_CLP]] / Tb_prod[[#This Row],[Producción_Toneladas]]</f>
        <v>36478467.319874853</v>
      </c>
      <c r="P370">
        <v>287</v>
      </c>
      <c r="Q370">
        <v>22</v>
      </c>
      <c r="R370" s="6">
        <v>45652</v>
      </c>
      <c r="S370" t="str">
        <f t="shared" si="12"/>
        <v>jueves</v>
      </c>
      <c r="T370" t="str">
        <f t="shared" si="11"/>
        <v>diciembre</v>
      </c>
      <c r="U370">
        <v>87.23</v>
      </c>
      <c r="V370">
        <f xml:space="preserve"> Tb_prod[[#This Row],[Emisiones_CO2_ton]] / Tb_prod[[#This Row],[Cantidad_Empleados]]</f>
        <v>2.7227874564459933</v>
      </c>
      <c r="W370" t="str">
        <f>IF(Tb_prod[[#This Row],[Recuperación_Metal_Porcentaje]]&gt;90,"Alta",IF(Tb_prod[[#This Row],[Recuperación_Metal_Porcentaje]]&gt;75,"Media","Baja"))</f>
        <v>Media</v>
      </c>
      <c r="X370" t="str">
        <f>IF(AND(Tb_prod[[#This Row],[Consumo_Energia_MWh]]&lt;=2000,Tb_prod[[#This Row],[Riesgo_Ambiental]]="Alto"),"Crítica","Normal")</f>
        <v>Normal</v>
      </c>
    </row>
    <row r="371" spans="1:24">
      <c r="A371">
        <v>403</v>
      </c>
      <c r="B371" t="str">
        <f>VLOOKUP(Tb_prod[[#This Row],[Región]],AUX_REGION[],2,0)</f>
        <v>Minera Romero</v>
      </c>
      <c r="C371" t="s">
        <v>27</v>
      </c>
      <c r="D371" t="s">
        <v>23</v>
      </c>
      <c r="E371" t="s">
        <v>19</v>
      </c>
      <c r="F371" t="s">
        <v>15</v>
      </c>
      <c r="G371" t="s">
        <v>22</v>
      </c>
      <c r="H371" s="23">
        <v>6282.35</v>
      </c>
      <c r="I371" s="23">
        <v>2220.5100000000002</v>
      </c>
      <c r="J371" s="23">
        <v>57532.46</v>
      </c>
      <c r="K371" s="23">
        <v>876.81</v>
      </c>
      <c r="L371" s="10">
        <v>9418340610</v>
      </c>
      <c r="M371" s="9">
        <v>55960919640</v>
      </c>
      <c r="N371" s="12">
        <f xml:space="preserve"> Tb_prod[[#This Row],[Costo_Mantenimiento_CLP]] / Tb_prod[[#This Row],[Dias_Operación_Mes]]</f>
        <v>313944687</v>
      </c>
      <c r="O371" s="11">
        <f>Tb_prod[[#This Row],[Costo_Operativo_CLP]] / Tb_prod[[#This Row],[Producción_Toneladas]]</f>
        <v>8907641.1915923171</v>
      </c>
      <c r="P371">
        <v>62</v>
      </c>
      <c r="Q371">
        <v>30</v>
      </c>
      <c r="R371" s="6">
        <v>45665</v>
      </c>
      <c r="S371" t="str">
        <f t="shared" si="12"/>
        <v>miércoles</v>
      </c>
      <c r="T371" t="str">
        <f t="shared" si="11"/>
        <v>enero</v>
      </c>
      <c r="U371">
        <v>88.52</v>
      </c>
      <c r="V371">
        <f xml:space="preserve"> Tb_prod[[#This Row],[Emisiones_CO2_ton]] / Tb_prod[[#This Row],[Cantidad_Empleados]]</f>
        <v>14.142096774193547</v>
      </c>
      <c r="W371" t="str">
        <f>IF(Tb_prod[[#This Row],[Recuperación_Metal_Porcentaje]]&gt;90,"Alta",IF(Tb_prod[[#This Row],[Recuperación_Metal_Porcentaje]]&gt;75,"Media","Baja"))</f>
        <v>Media</v>
      </c>
      <c r="X371" t="str">
        <f>IF(AND(Tb_prod[[#This Row],[Consumo_Energia_MWh]]&lt;=2000,Tb_prod[[#This Row],[Riesgo_Ambiental]]="Alto"),"Crítica","Normal")</f>
        <v>Normal</v>
      </c>
    </row>
    <row r="372" spans="1:24">
      <c r="A372">
        <v>14</v>
      </c>
      <c r="B372" t="str">
        <f>VLOOKUP(Tb_prod[[#This Row],[Región]],AUX_REGION[],2,0)</f>
        <v>Minera Romero</v>
      </c>
      <c r="C372" t="s">
        <v>25</v>
      </c>
      <c r="D372" t="s">
        <v>23</v>
      </c>
      <c r="E372" t="s">
        <v>19</v>
      </c>
      <c r="F372" t="s">
        <v>15</v>
      </c>
      <c r="G372" t="s">
        <v>16</v>
      </c>
      <c r="H372" s="23">
        <v>8454.3700000000008</v>
      </c>
      <c r="I372" s="23">
        <v>1306.8900000000001</v>
      </c>
      <c r="J372" s="23">
        <v>57571.51</v>
      </c>
      <c r="K372" s="23">
        <v>1401.35</v>
      </c>
      <c r="L372" s="10">
        <v>4921849260</v>
      </c>
      <c r="M372" s="9">
        <v>7548784100</v>
      </c>
      <c r="N372" s="12">
        <f xml:space="preserve"> Tb_prod[[#This Row],[Costo_Mantenimiento_CLP]] / Tb_prod[[#This Row],[Dias_Operación_Mes]]</f>
        <v>196873970.40000001</v>
      </c>
      <c r="O372" s="11">
        <f>Tb_prod[[#This Row],[Costo_Operativo_CLP]] / Tb_prod[[#This Row],[Producción_Toneladas]]</f>
        <v>892885.4663327958</v>
      </c>
      <c r="P372">
        <v>280</v>
      </c>
      <c r="Q372">
        <v>25</v>
      </c>
      <c r="R372" s="6">
        <v>45203</v>
      </c>
      <c r="S372" t="str">
        <f t="shared" si="12"/>
        <v>miércoles</v>
      </c>
      <c r="T372" t="str">
        <f t="shared" si="11"/>
        <v>octubre</v>
      </c>
      <c r="U372">
        <v>72.680000000000007</v>
      </c>
      <c r="V372">
        <f xml:space="preserve"> Tb_prod[[#This Row],[Emisiones_CO2_ton]] / Tb_prod[[#This Row],[Cantidad_Empleados]]</f>
        <v>5.0048214285714279</v>
      </c>
      <c r="W372" t="str">
        <f>IF(Tb_prod[[#This Row],[Recuperación_Metal_Porcentaje]]&gt;90,"Alta",IF(Tb_prod[[#This Row],[Recuperación_Metal_Porcentaje]]&gt;75,"Media","Baja"))</f>
        <v>Baja</v>
      </c>
      <c r="X372" t="str">
        <f>IF(AND(Tb_prod[[#This Row],[Consumo_Energia_MWh]]&lt;=2000,Tb_prod[[#This Row],[Riesgo_Ambiental]]="Alto"),"Crítica","Normal")</f>
        <v>Normal</v>
      </c>
    </row>
    <row r="373" spans="1:24">
      <c r="A373">
        <v>419</v>
      </c>
      <c r="B373" t="str">
        <f>VLOOKUP(Tb_prod[[#This Row],[Región]],AUX_REGION[],2,0)</f>
        <v>Minera Staff</v>
      </c>
      <c r="C373" t="s">
        <v>17</v>
      </c>
      <c r="D373" t="s">
        <v>13</v>
      </c>
      <c r="E373" t="s">
        <v>19</v>
      </c>
      <c r="F373" t="s">
        <v>24</v>
      </c>
      <c r="G373" t="s">
        <v>22</v>
      </c>
      <c r="H373" s="23">
        <v>8683.66</v>
      </c>
      <c r="I373" s="23">
        <v>1025.6300000000001</v>
      </c>
      <c r="J373" s="23">
        <v>57571.69</v>
      </c>
      <c r="K373" s="23">
        <v>1070.18</v>
      </c>
      <c r="L373" s="10">
        <v>1891817100</v>
      </c>
      <c r="M373" s="9">
        <v>54987877800</v>
      </c>
      <c r="N373" s="12">
        <f xml:space="preserve"> Tb_prod[[#This Row],[Costo_Mantenimiento_CLP]] / Tb_prod[[#This Row],[Dias_Operación_Mes]]</f>
        <v>65235072.413793102</v>
      </c>
      <c r="O373" s="11">
        <f>Tb_prod[[#This Row],[Costo_Operativo_CLP]] / Tb_prod[[#This Row],[Producción_Toneladas]]</f>
        <v>6332338.8755432619</v>
      </c>
      <c r="P373">
        <v>77</v>
      </c>
      <c r="Q373">
        <v>29</v>
      </c>
      <c r="R373" s="6">
        <v>45103</v>
      </c>
      <c r="S373" t="str">
        <f t="shared" si="12"/>
        <v>lunes</v>
      </c>
      <c r="T373" t="str">
        <f t="shared" si="11"/>
        <v>junio</v>
      </c>
      <c r="U373">
        <v>95.77</v>
      </c>
      <c r="V373">
        <f xml:space="preserve"> Tb_prod[[#This Row],[Emisiones_CO2_ton]] / Tb_prod[[#This Row],[Cantidad_Empleados]]</f>
        <v>13.89844155844156</v>
      </c>
      <c r="W373" t="str">
        <f>IF(Tb_prod[[#This Row],[Recuperación_Metal_Porcentaje]]&gt;90,"Alta",IF(Tb_prod[[#This Row],[Recuperación_Metal_Porcentaje]]&gt;75,"Media","Baja"))</f>
        <v>Alta</v>
      </c>
      <c r="X373" t="str">
        <f>IF(AND(Tb_prod[[#This Row],[Consumo_Energia_MWh]]&lt;=2000,Tb_prod[[#This Row],[Riesgo_Ambiental]]="Alto"),"Crítica","Normal")</f>
        <v>Normal</v>
      </c>
    </row>
    <row r="374" spans="1:24">
      <c r="A374">
        <v>77</v>
      </c>
      <c r="B374" t="str">
        <f>VLOOKUP(Tb_prod[[#This Row],[Región]],AUX_REGION[],2,0)</f>
        <v>Minera Romero</v>
      </c>
      <c r="C374" t="s">
        <v>27</v>
      </c>
      <c r="D374" t="s">
        <v>23</v>
      </c>
      <c r="E374" t="s">
        <v>14</v>
      </c>
      <c r="F374" t="s">
        <v>24</v>
      </c>
      <c r="G374" t="s">
        <v>20</v>
      </c>
      <c r="H374" s="23">
        <v>6000.81</v>
      </c>
      <c r="I374" s="23">
        <v>1261.53</v>
      </c>
      <c r="J374" s="23">
        <v>57633.87</v>
      </c>
      <c r="K374" s="23">
        <v>1056.1500000000001</v>
      </c>
      <c r="L374" s="10">
        <v>7894220040</v>
      </c>
      <c r="M374" s="9">
        <v>1041213691020</v>
      </c>
      <c r="N374" s="12">
        <f xml:space="preserve"> Tb_prod[[#This Row],[Costo_Mantenimiento_CLP]] / Tb_prod[[#This Row],[Dias_Operación_Mes]]</f>
        <v>272214484.13793105</v>
      </c>
      <c r="O374" s="11">
        <f>Tb_prod[[#This Row],[Costo_Operativo_CLP]] / Tb_prod[[#This Row],[Producción_Toneladas]]</f>
        <v>173512191.02421173</v>
      </c>
      <c r="P374">
        <v>241</v>
      </c>
      <c r="Q374">
        <v>29</v>
      </c>
      <c r="R374" s="6">
        <v>45016</v>
      </c>
      <c r="S374" t="str">
        <f t="shared" si="12"/>
        <v>viernes</v>
      </c>
      <c r="T374" t="str">
        <f t="shared" si="11"/>
        <v>marzo</v>
      </c>
      <c r="U374">
        <v>81.099999999999994</v>
      </c>
      <c r="V374">
        <f xml:space="preserve"> Tb_prod[[#This Row],[Emisiones_CO2_ton]] / Tb_prod[[#This Row],[Cantidad_Empleados]]</f>
        <v>4.3823651452282162</v>
      </c>
      <c r="W374" t="str">
        <f>IF(Tb_prod[[#This Row],[Recuperación_Metal_Porcentaje]]&gt;90,"Alta",IF(Tb_prod[[#This Row],[Recuperación_Metal_Porcentaje]]&gt;75,"Media","Baja"))</f>
        <v>Media</v>
      </c>
      <c r="X374" t="str">
        <f>IF(AND(Tb_prod[[#This Row],[Consumo_Energia_MWh]]&lt;=2000,Tb_prod[[#This Row],[Riesgo_Ambiental]]="Alto"),"Crítica","Normal")</f>
        <v>Crítica</v>
      </c>
    </row>
    <row r="375" spans="1:24">
      <c r="A375">
        <v>485</v>
      </c>
      <c r="B375" t="str">
        <f>VLOOKUP(Tb_prod[[#This Row],[Región]],AUX_REGION[],2,0)</f>
        <v>Minera Staff</v>
      </c>
      <c r="C375" t="s">
        <v>27</v>
      </c>
      <c r="D375" t="s">
        <v>13</v>
      </c>
      <c r="E375" t="s">
        <v>14</v>
      </c>
      <c r="F375" t="s">
        <v>24</v>
      </c>
      <c r="G375" t="s">
        <v>20</v>
      </c>
      <c r="H375" s="23">
        <v>6857.82</v>
      </c>
      <c r="I375" s="23">
        <v>2511.41</v>
      </c>
      <c r="J375" s="23">
        <v>57646.03</v>
      </c>
      <c r="K375" s="23">
        <v>805.81</v>
      </c>
      <c r="L375" s="10">
        <v>17268417990</v>
      </c>
      <c r="M375" s="9">
        <v>61494705900</v>
      </c>
      <c r="N375" s="12">
        <f xml:space="preserve"> Tb_prod[[#This Row],[Costo_Mantenimiento_CLP]] / Tb_prod[[#This Row],[Dias_Operación_Mes]]</f>
        <v>575613933</v>
      </c>
      <c r="O375" s="11">
        <f>Tb_prod[[#This Row],[Costo_Operativo_CLP]] / Tb_prod[[#This Row],[Producción_Toneladas]]</f>
        <v>8967092.4433712177</v>
      </c>
      <c r="P375">
        <v>225</v>
      </c>
      <c r="Q375">
        <v>30</v>
      </c>
      <c r="R375" s="6">
        <v>45611</v>
      </c>
      <c r="S375" t="str">
        <f t="shared" si="12"/>
        <v>viernes</v>
      </c>
      <c r="T375" t="str">
        <f t="shared" si="11"/>
        <v>noviembre</v>
      </c>
      <c r="U375">
        <v>88.04</v>
      </c>
      <c r="V375">
        <f xml:space="preserve"> Tb_prod[[#This Row],[Emisiones_CO2_ton]] / Tb_prod[[#This Row],[Cantidad_Empleados]]</f>
        <v>3.5813777777777775</v>
      </c>
      <c r="W375" t="str">
        <f>IF(Tb_prod[[#This Row],[Recuperación_Metal_Porcentaje]]&gt;90,"Alta",IF(Tb_prod[[#This Row],[Recuperación_Metal_Porcentaje]]&gt;75,"Media","Baja"))</f>
        <v>Media</v>
      </c>
      <c r="X375" t="str">
        <f>IF(AND(Tb_prod[[#This Row],[Consumo_Energia_MWh]]&lt;=2000,Tb_prod[[#This Row],[Riesgo_Ambiental]]="Alto"),"Crítica","Normal")</f>
        <v>Normal</v>
      </c>
    </row>
    <row r="376" spans="1:24">
      <c r="A376">
        <v>353</v>
      </c>
      <c r="B376" t="str">
        <f>VLOOKUP(Tb_prod[[#This Row],[Región]],AUX_REGION[],2,0)</f>
        <v>Minera Staff</v>
      </c>
      <c r="C376" t="s">
        <v>27</v>
      </c>
      <c r="D376" t="s">
        <v>13</v>
      </c>
      <c r="E376" t="s">
        <v>19</v>
      </c>
      <c r="F376" t="s">
        <v>26</v>
      </c>
      <c r="G376" t="s">
        <v>20</v>
      </c>
      <c r="H376" s="23">
        <v>6002.7</v>
      </c>
      <c r="I376" s="23">
        <v>2505.4699999999998</v>
      </c>
      <c r="J376" s="23">
        <v>57677.11</v>
      </c>
      <c r="K376" s="23">
        <v>1430.63</v>
      </c>
      <c r="L376" s="10">
        <v>20688332670</v>
      </c>
      <c r="M376" s="9">
        <v>92797929090</v>
      </c>
      <c r="N376" s="12">
        <f xml:space="preserve"> Tb_prod[[#This Row],[Costo_Mantenimiento_CLP]] / Tb_prod[[#This Row],[Dias_Operación_Mes]]</f>
        <v>899492724.78260875</v>
      </c>
      <c r="O376" s="11">
        <f>Tb_prod[[#This Row],[Costo_Operativo_CLP]] / Tb_prod[[#This Row],[Producción_Toneladas]]</f>
        <v>15459364.800839623</v>
      </c>
      <c r="P376">
        <v>270</v>
      </c>
      <c r="Q376">
        <v>23</v>
      </c>
      <c r="R376" s="6">
        <v>45358</v>
      </c>
      <c r="S376" t="str">
        <f t="shared" si="12"/>
        <v>jueves</v>
      </c>
      <c r="T376" t="str">
        <f t="shared" si="11"/>
        <v>marzo</v>
      </c>
      <c r="U376">
        <v>91.94</v>
      </c>
      <c r="V376">
        <f xml:space="preserve"> Tb_prod[[#This Row],[Emisiones_CO2_ton]] / Tb_prod[[#This Row],[Cantidad_Empleados]]</f>
        <v>5.2986296296296302</v>
      </c>
      <c r="W376" t="str">
        <f>IF(Tb_prod[[#This Row],[Recuperación_Metal_Porcentaje]]&gt;90,"Alta",IF(Tb_prod[[#This Row],[Recuperación_Metal_Porcentaje]]&gt;75,"Media","Baja"))</f>
        <v>Alta</v>
      </c>
      <c r="X376" t="str">
        <f>IF(AND(Tb_prod[[#This Row],[Consumo_Energia_MWh]]&lt;=2000,Tb_prod[[#This Row],[Riesgo_Ambiental]]="Alto"),"Crítica","Normal")</f>
        <v>Normal</v>
      </c>
    </row>
    <row r="377" spans="1:24">
      <c r="A377">
        <v>65</v>
      </c>
      <c r="B377" t="str">
        <f>VLOOKUP(Tb_prod[[#This Row],[Región]],AUX_REGION[],2,0)</f>
        <v>Minera del Norte</v>
      </c>
      <c r="C377" t="s">
        <v>25</v>
      </c>
      <c r="D377" t="s">
        <v>18</v>
      </c>
      <c r="E377" t="s">
        <v>19</v>
      </c>
      <c r="F377" t="s">
        <v>24</v>
      </c>
      <c r="G377" t="s">
        <v>16</v>
      </c>
      <c r="H377" s="23">
        <v>8896.56</v>
      </c>
      <c r="I377" s="23">
        <v>2435.46</v>
      </c>
      <c r="J377" s="23">
        <v>57730.28</v>
      </c>
      <c r="K377" s="23">
        <v>1322.62</v>
      </c>
      <c r="L377" s="10">
        <v>9764678700</v>
      </c>
      <c r="M377" s="9">
        <v>70704955080</v>
      </c>
      <c r="N377" s="12">
        <f xml:space="preserve"> Tb_prod[[#This Row],[Costo_Mantenimiento_CLP]] / Tb_prod[[#This Row],[Dias_Operación_Mes]]</f>
        <v>424551247.82608694</v>
      </c>
      <c r="O377" s="11">
        <f>Tb_prod[[#This Row],[Costo_Operativo_CLP]] / Tb_prod[[#This Row],[Producción_Toneladas]]</f>
        <v>7947448.7981871646</v>
      </c>
      <c r="P377">
        <v>98</v>
      </c>
      <c r="Q377">
        <v>23</v>
      </c>
      <c r="R377" s="6">
        <v>45805</v>
      </c>
      <c r="S377" t="str">
        <f t="shared" si="12"/>
        <v>miércoles</v>
      </c>
      <c r="T377" t="str">
        <f t="shared" si="11"/>
        <v>mayo</v>
      </c>
      <c r="U377">
        <v>90</v>
      </c>
      <c r="V377">
        <f xml:space="preserve"> Tb_prod[[#This Row],[Emisiones_CO2_ton]] / Tb_prod[[#This Row],[Cantidad_Empleados]]</f>
        <v>13.496122448979591</v>
      </c>
      <c r="W377" t="str">
        <f>IF(Tb_prod[[#This Row],[Recuperación_Metal_Porcentaje]]&gt;90,"Alta",IF(Tb_prod[[#This Row],[Recuperación_Metal_Porcentaje]]&gt;75,"Media","Baja"))</f>
        <v>Media</v>
      </c>
      <c r="X377" t="str">
        <f>IF(AND(Tb_prod[[#This Row],[Consumo_Energia_MWh]]&lt;=2000,Tb_prod[[#This Row],[Riesgo_Ambiental]]="Alto"),"Crítica","Normal")</f>
        <v>Normal</v>
      </c>
    </row>
    <row r="378" spans="1:24">
      <c r="A378">
        <v>122</v>
      </c>
      <c r="B378" t="str">
        <f>VLOOKUP(Tb_prod[[#This Row],[Región]],AUX_REGION[],2,0)</f>
        <v>Minera del Norte</v>
      </c>
      <c r="C378" t="s">
        <v>12</v>
      </c>
      <c r="D378" t="s">
        <v>18</v>
      </c>
      <c r="E378" t="s">
        <v>14</v>
      </c>
      <c r="F378" t="s">
        <v>15</v>
      </c>
      <c r="G378" t="s">
        <v>16</v>
      </c>
      <c r="H378" s="23">
        <v>5198.8500000000004</v>
      </c>
      <c r="I378" s="23">
        <v>1930.01</v>
      </c>
      <c r="J378" s="23">
        <v>57843.519999999997</v>
      </c>
      <c r="K378" s="23">
        <v>566.83000000000004</v>
      </c>
      <c r="L378" s="10">
        <v>42341881860</v>
      </c>
      <c r="M378" s="9">
        <v>173439915300</v>
      </c>
      <c r="N378" s="12">
        <f xml:space="preserve"> Tb_prod[[#This Row],[Costo_Mantenimiento_CLP]] / Tb_prod[[#This Row],[Dias_Operación_Mes]]</f>
        <v>1924630993.6363637</v>
      </c>
      <c r="O378" s="11">
        <f>Tb_prod[[#This Row],[Costo_Operativo_CLP]] / Tb_prod[[#This Row],[Producción_Toneladas]]</f>
        <v>33361207.824807405</v>
      </c>
      <c r="P378">
        <v>138</v>
      </c>
      <c r="Q378">
        <v>22</v>
      </c>
      <c r="R378" s="6">
        <v>45986</v>
      </c>
      <c r="S378" t="str">
        <f t="shared" si="12"/>
        <v>martes</v>
      </c>
      <c r="T378" t="str">
        <f t="shared" si="11"/>
        <v>noviembre</v>
      </c>
      <c r="U378">
        <v>73.63</v>
      </c>
      <c r="V378">
        <f xml:space="preserve"> Tb_prod[[#This Row],[Emisiones_CO2_ton]] / Tb_prod[[#This Row],[Cantidad_Empleados]]</f>
        <v>4.1074637681159425</v>
      </c>
      <c r="W378" t="str">
        <f>IF(Tb_prod[[#This Row],[Recuperación_Metal_Porcentaje]]&gt;90,"Alta",IF(Tb_prod[[#This Row],[Recuperación_Metal_Porcentaje]]&gt;75,"Media","Baja"))</f>
        <v>Baja</v>
      </c>
      <c r="X378" t="str">
        <f>IF(AND(Tb_prod[[#This Row],[Consumo_Energia_MWh]]&lt;=2000,Tb_prod[[#This Row],[Riesgo_Ambiental]]="Alto"),"Crítica","Normal")</f>
        <v>Normal</v>
      </c>
    </row>
    <row r="379" spans="1:24">
      <c r="A379">
        <v>62</v>
      </c>
      <c r="B379" t="str">
        <f>VLOOKUP(Tb_prod[[#This Row],[Región]],AUX_REGION[],2,0)</f>
        <v>Minera Staff</v>
      </c>
      <c r="C379" t="s">
        <v>12</v>
      </c>
      <c r="D379" t="s">
        <v>13</v>
      </c>
      <c r="E379" t="s">
        <v>19</v>
      </c>
      <c r="F379" t="s">
        <v>15</v>
      </c>
      <c r="G379" t="s">
        <v>22</v>
      </c>
      <c r="H379" s="23">
        <v>1442.58</v>
      </c>
      <c r="I379" s="23">
        <v>2021.67</v>
      </c>
      <c r="J379" s="23">
        <v>57957.19</v>
      </c>
      <c r="K379" s="23">
        <v>933.92</v>
      </c>
      <c r="L379" s="10">
        <v>12686166360</v>
      </c>
      <c r="M379" s="9">
        <v>120434336910</v>
      </c>
      <c r="N379" s="12">
        <f xml:space="preserve"> Tb_prod[[#This Row],[Costo_Mantenimiento_CLP]] / Tb_prod[[#This Row],[Dias_Operación_Mes]]</f>
        <v>469858013.33333331</v>
      </c>
      <c r="O379" s="11">
        <f>Tb_prod[[#This Row],[Costo_Operativo_CLP]] / Tb_prod[[#This Row],[Producción_Toneladas]]</f>
        <v>83485378.218192413</v>
      </c>
      <c r="P379">
        <v>187</v>
      </c>
      <c r="Q379">
        <v>27</v>
      </c>
      <c r="R379" s="6">
        <v>45222</v>
      </c>
      <c r="S379" t="str">
        <f t="shared" si="12"/>
        <v>lunes</v>
      </c>
      <c r="T379" t="str">
        <f t="shared" si="11"/>
        <v>octubre</v>
      </c>
      <c r="U379">
        <v>89.27</v>
      </c>
      <c r="V379">
        <f xml:space="preserve"> Tb_prod[[#This Row],[Emisiones_CO2_ton]] / Tb_prod[[#This Row],[Cantidad_Empleados]]</f>
        <v>4.9942245989304812</v>
      </c>
      <c r="W379" t="str">
        <f>IF(Tb_prod[[#This Row],[Recuperación_Metal_Porcentaje]]&gt;90,"Alta",IF(Tb_prod[[#This Row],[Recuperación_Metal_Porcentaje]]&gt;75,"Media","Baja"))</f>
        <v>Media</v>
      </c>
      <c r="X379" t="str">
        <f>IF(AND(Tb_prod[[#This Row],[Consumo_Energia_MWh]]&lt;=2000,Tb_prod[[#This Row],[Riesgo_Ambiental]]="Alto"),"Crítica","Normal")</f>
        <v>Normal</v>
      </c>
    </row>
    <row r="380" spans="1:24">
      <c r="A380">
        <v>29</v>
      </c>
      <c r="B380" t="str">
        <f>VLOOKUP(Tb_prod[[#This Row],[Región]],AUX_REGION[],2,0)</f>
        <v>Minera del Norte</v>
      </c>
      <c r="C380" t="s">
        <v>12</v>
      </c>
      <c r="D380" t="s">
        <v>18</v>
      </c>
      <c r="E380" t="s">
        <v>19</v>
      </c>
      <c r="F380" t="s">
        <v>26</v>
      </c>
      <c r="G380" t="s">
        <v>22</v>
      </c>
      <c r="H380" s="23">
        <v>4534.4799999999996</v>
      </c>
      <c r="I380" s="23">
        <v>2116</v>
      </c>
      <c r="J380" s="23">
        <v>57979.47</v>
      </c>
      <c r="K380" s="23">
        <v>1449.21</v>
      </c>
      <c r="L380" s="10">
        <v>11636206470</v>
      </c>
      <c r="M380" s="9">
        <v>63401452020</v>
      </c>
      <c r="N380" s="12">
        <f xml:space="preserve"> Tb_prod[[#This Row],[Costo_Mantenimiento_CLP]] / Tb_prod[[#This Row],[Dias_Operación_Mes]]</f>
        <v>401248498.96551722</v>
      </c>
      <c r="O380" s="11">
        <f>Tb_prod[[#This Row],[Costo_Operativo_CLP]] / Tb_prod[[#This Row],[Producción_Toneladas]]</f>
        <v>13982077.772975072</v>
      </c>
      <c r="P380">
        <v>120</v>
      </c>
      <c r="Q380">
        <v>29</v>
      </c>
      <c r="R380" s="6">
        <v>45489</v>
      </c>
      <c r="S380" t="str">
        <f t="shared" ref="S380:S411" si="13">TEXT(R380,"dddd")</f>
        <v>martes</v>
      </c>
      <c r="T380" t="str">
        <f t="shared" si="11"/>
        <v>julio</v>
      </c>
      <c r="U380">
        <v>84.01</v>
      </c>
      <c r="V380">
        <f xml:space="preserve"> Tb_prod[[#This Row],[Emisiones_CO2_ton]] / Tb_prod[[#This Row],[Cantidad_Empleados]]</f>
        <v>12.076750000000001</v>
      </c>
      <c r="W380" t="str">
        <f>IF(Tb_prod[[#This Row],[Recuperación_Metal_Porcentaje]]&gt;90,"Alta",IF(Tb_prod[[#This Row],[Recuperación_Metal_Porcentaje]]&gt;75,"Media","Baja"))</f>
        <v>Media</v>
      </c>
      <c r="X380" t="str">
        <f>IF(AND(Tb_prod[[#This Row],[Consumo_Energia_MWh]]&lt;=2000,Tb_prod[[#This Row],[Riesgo_Ambiental]]="Alto"),"Crítica","Normal")</f>
        <v>Normal</v>
      </c>
    </row>
    <row r="381" spans="1:24">
      <c r="A381">
        <v>397</v>
      </c>
      <c r="B381" t="str">
        <f>VLOOKUP(Tb_prod[[#This Row],[Región]],AUX_REGION[],2,0)</f>
        <v>Minera Staff</v>
      </c>
      <c r="C381" t="s">
        <v>17</v>
      </c>
      <c r="D381" t="s">
        <v>13</v>
      </c>
      <c r="E381" t="s">
        <v>19</v>
      </c>
      <c r="F381" t="s">
        <v>15</v>
      </c>
      <c r="G381" t="s">
        <v>22</v>
      </c>
      <c r="H381" s="23">
        <v>5134.41</v>
      </c>
      <c r="I381" s="23">
        <v>1669.59</v>
      </c>
      <c r="J381" s="23">
        <v>58068.31</v>
      </c>
      <c r="K381" s="23">
        <v>1311.82</v>
      </c>
      <c r="L381" s="10">
        <v>1350061417738.8899</v>
      </c>
      <c r="M381" s="9">
        <v>11662627050</v>
      </c>
      <c r="N381" s="12">
        <f xml:space="preserve"> Tb_prod[[#This Row],[Costo_Mantenimiento_CLP]] / Tb_prod[[#This Row],[Dias_Operación_Mes]]</f>
        <v>58698322510.38652</v>
      </c>
      <c r="O381" s="11">
        <f>Tb_prod[[#This Row],[Costo_Operativo_CLP]] / Tb_prod[[#This Row],[Producción_Toneladas]]</f>
        <v>2271463.9169836459</v>
      </c>
      <c r="P381">
        <v>263</v>
      </c>
      <c r="Q381">
        <v>23</v>
      </c>
      <c r="R381" s="6">
        <v>45947</v>
      </c>
      <c r="S381" t="str">
        <f t="shared" si="13"/>
        <v>viernes</v>
      </c>
      <c r="T381" t="str">
        <f t="shared" si="11"/>
        <v>octubre</v>
      </c>
      <c r="U381">
        <v>77.45</v>
      </c>
      <c r="V381">
        <f xml:space="preserve"> Tb_prod[[#This Row],[Emisiones_CO2_ton]] / Tb_prod[[#This Row],[Cantidad_Empleados]]</f>
        <v>4.9879087452471484</v>
      </c>
      <c r="W381" t="str">
        <f>IF(Tb_prod[[#This Row],[Recuperación_Metal_Porcentaje]]&gt;90,"Alta",IF(Tb_prod[[#This Row],[Recuperación_Metal_Porcentaje]]&gt;75,"Media","Baja"))</f>
        <v>Media</v>
      </c>
      <c r="X381" t="str">
        <f>IF(AND(Tb_prod[[#This Row],[Consumo_Energia_MWh]]&lt;=2000,Tb_prod[[#This Row],[Riesgo_Ambiental]]="Alto"),"Crítica","Normal")</f>
        <v>Normal</v>
      </c>
    </row>
    <row r="382" spans="1:24">
      <c r="A382">
        <v>351</v>
      </c>
      <c r="B382" t="str">
        <f>VLOOKUP(Tb_prod[[#This Row],[Región]],AUX_REGION[],2,0)</f>
        <v>Minera del Norte</v>
      </c>
      <c r="C382" t="s">
        <v>25</v>
      </c>
      <c r="D382" t="s">
        <v>18</v>
      </c>
      <c r="E382" t="s">
        <v>19</v>
      </c>
      <c r="F382" t="s">
        <v>26</v>
      </c>
      <c r="G382" t="s">
        <v>16</v>
      </c>
      <c r="H382" s="23">
        <v>4845.7299999999996</v>
      </c>
      <c r="I382" s="23">
        <v>1991.84</v>
      </c>
      <c r="J382" s="23">
        <v>58096.74</v>
      </c>
      <c r="K382" s="23">
        <v>1031.18</v>
      </c>
      <c r="L382" s="10">
        <v>13289552370</v>
      </c>
      <c r="M382" s="9">
        <v>166659582330</v>
      </c>
      <c r="N382" s="12">
        <f xml:space="preserve"> Tb_prod[[#This Row],[Costo_Mantenimiento_CLP]] / Tb_prod[[#This Row],[Dias_Operación_Mes]]</f>
        <v>531582094.80000001</v>
      </c>
      <c r="O382" s="11">
        <f>Tb_prod[[#This Row],[Costo_Operativo_CLP]] / Tb_prod[[#This Row],[Producción_Toneladas]]</f>
        <v>34393080.574031159</v>
      </c>
      <c r="P382">
        <v>209</v>
      </c>
      <c r="Q382">
        <v>25</v>
      </c>
      <c r="R382" s="6">
        <v>45144</v>
      </c>
      <c r="S382" t="str">
        <f t="shared" si="13"/>
        <v>domingo</v>
      </c>
      <c r="T382" t="str">
        <f t="shared" si="11"/>
        <v>agosto</v>
      </c>
      <c r="U382">
        <v>91.47</v>
      </c>
      <c r="V382">
        <f xml:space="preserve"> Tb_prod[[#This Row],[Emisiones_CO2_ton]] / Tb_prod[[#This Row],[Cantidad_Empleados]]</f>
        <v>4.9338755980861251</v>
      </c>
      <c r="W382" t="str">
        <f>IF(Tb_prod[[#This Row],[Recuperación_Metal_Porcentaje]]&gt;90,"Alta",IF(Tb_prod[[#This Row],[Recuperación_Metal_Porcentaje]]&gt;75,"Media","Baja"))</f>
        <v>Alta</v>
      </c>
      <c r="X382" t="str">
        <f>IF(AND(Tb_prod[[#This Row],[Consumo_Energia_MWh]]&lt;=2000,Tb_prod[[#This Row],[Riesgo_Ambiental]]="Alto"),"Crítica","Normal")</f>
        <v>Normal</v>
      </c>
    </row>
    <row r="383" spans="1:24">
      <c r="A383">
        <v>123</v>
      </c>
      <c r="B383" t="str">
        <f>VLOOKUP(Tb_prod[[#This Row],[Región]],AUX_REGION[],2,0)</f>
        <v>Minera Staff</v>
      </c>
      <c r="C383" t="s">
        <v>17</v>
      </c>
      <c r="D383" t="s">
        <v>13</v>
      </c>
      <c r="E383" t="s">
        <v>19</v>
      </c>
      <c r="F383" t="s">
        <v>15</v>
      </c>
      <c r="G383" t="s">
        <v>16</v>
      </c>
      <c r="H383" s="23">
        <v>5236.04</v>
      </c>
      <c r="I383" s="23">
        <v>2279.0300000000002</v>
      </c>
      <c r="J383" s="23">
        <v>58104.91</v>
      </c>
      <c r="K383" s="23">
        <v>1052.0999999999999</v>
      </c>
      <c r="L383" s="10">
        <v>105041698290056</v>
      </c>
      <c r="M383" s="9">
        <v>106509353040</v>
      </c>
      <c r="N383" s="12">
        <f xml:space="preserve"> Tb_prod[[#This Row],[Costo_Mantenimiento_CLP]] / Tb_prod[[#This Row],[Dias_Operación_Mes]]</f>
        <v>3501389943001.8667</v>
      </c>
      <c r="O383" s="11">
        <f>Tb_prod[[#This Row],[Costo_Operativo_CLP]] / Tb_prod[[#This Row],[Producción_Toneladas]]</f>
        <v>20341585.060465544</v>
      </c>
      <c r="P383">
        <v>225</v>
      </c>
      <c r="Q383">
        <v>30</v>
      </c>
      <c r="R383" s="6">
        <v>45442</v>
      </c>
      <c r="S383" t="str">
        <f t="shared" si="13"/>
        <v>jueves</v>
      </c>
      <c r="T383" t="str">
        <f t="shared" si="11"/>
        <v>mayo</v>
      </c>
      <c r="U383">
        <v>81.08</v>
      </c>
      <c r="V383">
        <f xml:space="preserve"> Tb_prod[[#This Row],[Emisiones_CO2_ton]] / Tb_prod[[#This Row],[Cantidad_Empleados]]</f>
        <v>4.6759999999999993</v>
      </c>
      <c r="W383" t="str">
        <f>IF(Tb_prod[[#This Row],[Recuperación_Metal_Porcentaje]]&gt;90,"Alta",IF(Tb_prod[[#This Row],[Recuperación_Metal_Porcentaje]]&gt;75,"Media","Baja"))</f>
        <v>Media</v>
      </c>
      <c r="X383" t="str">
        <f>IF(AND(Tb_prod[[#This Row],[Consumo_Energia_MWh]]&lt;=2000,Tb_prod[[#This Row],[Riesgo_Ambiental]]="Alto"),"Crítica","Normal")</f>
        <v>Normal</v>
      </c>
    </row>
    <row r="384" spans="1:24">
      <c r="A384">
        <v>135</v>
      </c>
      <c r="B384" t="str">
        <f>VLOOKUP(Tb_prod[[#This Row],[Región]],AUX_REGION[],2,0)</f>
        <v>Minera Staff</v>
      </c>
      <c r="C384" t="s">
        <v>21</v>
      </c>
      <c r="D384" t="s">
        <v>13</v>
      </c>
      <c r="E384" t="s">
        <v>14</v>
      </c>
      <c r="F384" t="s">
        <v>26</v>
      </c>
      <c r="G384" t="s">
        <v>22</v>
      </c>
      <c r="H384" s="23">
        <v>5344.44</v>
      </c>
      <c r="I384" s="23">
        <v>2606.52</v>
      </c>
      <c r="J384" s="23">
        <v>58146.13</v>
      </c>
      <c r="K384" s="23">
        <v>734.21</v>
      </c>
      <c r="L384" s="10">
        <v>845241450000</v>
      </c>
      <c r="M384" s="9">
        <v>129015089370</v>
      </c>
      <c r="N384" s="12">
        <f xml:space="preserve"> Tb_prod[[#This Row],[Costo_Mantenimiento_CLP]] / Tb_prod[[#This Row],[Dias_Operación_Mes]]</f>
        <v>32509286538.46154</v>
      </c>
      <c r="O384" s="11">
        <f>Tb_prod[[#This Row],[Costo_Operativo_CLP]] / Tb_prod[[#This Row],[Producción_Toneladas]]</f>
        <v>24140057.586950179</v>
      </c>
      <c r="P384">
        <v>216</v>
      </c>
      <c r="Q384">
        <v>26</v>
      </c>
      <c r="R384" s="6">
        <v>45623</v>
      </c>
      <c r="S384" t="str">
        <f t="shared" si="13"/>
        <v>miércoles</v>
      </c>
      <c r="T384" t="str">
        <f t="shared" si="11"/>
        <v>noviembre</v>
      </c>
      <c r="U384">
        <v>98.21</v>
      </c>
      <c r="V384">
        <f xml:space="preserve"> Tb_prod[[#This Row],[Emisiones_CO2_ton]] / Tb_prod[[#This Row],[Cantidad_Empleados]]</f>
        <v>3.3991203703703707</v>
      </c>
      <c r="W384" t="str">
        <f>IF(Tb_prod[[#This Row],[Recuperación_Metal_Porcentaje]]&gt;90,"Alta",IF(Tb_prod[[#This Row],[Recuperación_Metal_Porcentaje]]&gt;75,"Media","Baja"))</f>
        <v>Alta</v>
      </c>
      <c r="X384" t="str">
        <f>IF(AND(Tb_prod[[#This Row],[Consumo_Energia_MWh]]&lt;=2000,Tb_prod[[#This Row],[Riesgo_Ambiental]]="Alto"),"Crítica","Normal")</f>
        <v>Normal</v>
      </c>
    </row>
    <row r="385" spans="1:24">
      <c r="A385">
        <v>422</v>
      </c>
      <c r="B385" t="str">
        <f>VLOOKUP(Tb_prod[[#This Row],[Región]],AUX_REGION[],2,0)</f>
        <v>Minera Romero</v>
      </c>
      <c r="C385" t="s">
        <v>12</v>
      </c>
      <c r="D385" t="s">
        <v>23</v>
      </c>
      <c r="E385" t="s">
        <v>19</v>
      </c>
      <c r="F385" t="s">
        <v>26</v>
      </c>
      <c r="G385" t="s">
        <v>16</v>
      </c>
      <c r="H385" s="23">
        <v>4280.88</v>
      </c>
      <c r="I385" s="23">
        <v>2984.63</v>
      </c>
      <c r="J385" s="23">
        <v>58177.63</v>
      </c>
      <c r="K385" s="23">
        <v>1268.5</v>
      </c>
      <c r="L385" s="10">
        <v>33415213410</v>
      </c>
      <c r="M385" s="9">
        <v>50330873430</v>
      </c>
      <c r="N385" s="12">
        <f xml:space="preserve"> Tb_prod[[#This Row],[Costo_Mantenimiento_CLP]] / Tb_prod[[#This Row],[Dias_Operación_Mes]]</f>
        <v>1237600496.6666667</v>
      </c>
      <c r="O385" s="11">
        <f>Tb_prod[[#This Row],[Costo_Operativo_CLP]] / Tb_prod[[#This Row],[Producción_Toneladas]]</f>
        <v>11757132.512474071</v>
      </c>
      <c r="P385">
        <v>259</v>
      </c>
      <c r="Q385">
        <v>27</v>
      </c>
      <c r="R385" s="6">
        <v>45002</v>
      </c>
      <c r="S385" t="str">
        <f t="shared" si="13"/>
        <v>viernes</v>
      </c>
      <c r="T385" t="str">
        <f t="shared" si="11"/>
        <v>marzo</v>
      </c>
      <c r="U385">
        <v>97.02</v>
      </c>
      <c r="V385">
        <f xml:space="preserve"> Tb_prod[[#This Row],[Emisiones_CO2_ton]] / Tb_prod[[#This Row],[Cantidad_Empleados]]</f>
        <v>4.897683397683398</v>
      </c>
      <c r="W385" t="str">
        <f>IF(Tb_prod[[#This Row],[Recuperación_Metal_Porcentaje]]&gt;90,"Alta",IF(Tb_prod[[#This Row],[Recuperación_Metal_Porcentaje]]&gt;75,"Media","Baja"))</f>
        <v>Alta</v>
      </c>
      <c r="X385" t="str">
        <f>IF(AND(Tb_prod[[#This Row],[Consumo_Energia_MWh]]&lt;=2000,Tb_prod[[#This Row],[Riesgo_Ambiental]]="Alto"),"Crítica","Normal")</f>
        <v>Normal</v>
      </c>
    </row>
    <row r="386" spans="1:24">
      <c r="A386">
        <v>143</v>
      </c>
      <c r="B386" t="str">
        <f>VLOOKUP(Tb_prod[[#This Row],[Región]],AUX_REGION[],2,0)</f>
        <v>Minera Romero</v>
      </c>
      <c r="C386" t="s">
        <v>12</v>
      </c>
      <c r="D386" t="s">
        <v>23</v>
      </c>
      <c r="E386" t="s">
        <v>14</v>
      </c>
      <c r="F386" t="s">
        <v>26</v>
      </c>
      <c r="G386" t="s">
        <v>16</v>
      </c>
      <c r="H386" s="23">
        <v>4413.59</v>
      </c>
      <c r="I386" s="23">
        <v>2141.46</v>
      </c>
      <c r="J386" s="23">
        <v>58254.8</v>
      </c>
      <c r="K386" s="23">
        <v>1256.94</v>
      </c>
      <c r="L386" s="10">
        <v>24107305500</v>
      </c>
      <c r="M386" s="9">
        <v>163118513250</v>
      </c>
      <c r="N386" s="12">
        <f xml:space="preserve"> Tb_prod[[#This Row],[Costo_Mantenimiento_CLP]] / Tb_prod[[#This Row],[Dias_Operación_Mes]]</f>
        <v>1004471062.5</v>
      </c>
      <c r="O386" s="11">
        <f>Tb_prod[[#This Row],[Costo_Operativo_CLP]] / Tb_prod[[#This Row],[Producción_Toneladas]]</f>
        <v>36958238.814661078</v>
      </c>
      <c r="P386">
        <v>268</v>
      </c>
      <c r="Q386">
        <v>24</v>
      </c>
      <c r="R386" s="6">
        <v>45777</v>
      </c>
      <c r="S386" t="str">
        <f t="shared" si="13"/>
        <v>miércoles</v>
      </c>
      <c r="T386" t="str">
        <f t="shared" ref="T386:T449" si="14">TEXT(R386,"mmmm")</f>
        <v>abril</v>
      </c>
      <c r="U386">
        <v>85.47</v>
      </c>
      <c r="V386">
        <f xml:space="preserve"> Tb_prod[[#This Row],[Emisiones_CO2_ton]] / Tb_prod[[#This Row],[Cantidad_Empleados]]</f>
        <v>4.6900746268656714</v>
      </c>
      <c r="W386" t="str">
        <f>IF(Tb_prod[[#This Row],[Recuperación_Metal_Porcentaje]]&gt;90,"Alta",IF(Tb_prod[[#This Row],[Recuperación_Metal_Porcentaje]]&gt;75,"Media","Baja"))</f>
        <v>Media</v>
      </c>
      <c r="X386" t="str">
        <f>IF(AND(Tb_prod[[#This Row],[Consumo_Energia_MWh]]&lt;=2000,Tb_prod[[#This Row],[Riesgo_Ambiental]]="Alto"),"Crítica","Normal")</f>
        <v>Normal</v>
      </c>
    </row>
    <row r="387" spans="1:24">
      <c r="A387">
        <v>258</v>
      </c>
      <c r="B387" t="str">
        <f>VLOOKUP(Tb_prod[[#This Row],[Región]],AUX_REGION[],2,0)</f>
        <v>Minera Romero</v>
      </c>
      <c r="C387" t="s">
        <v>17</v>
      </c>
      <c r="D387" t="s">
        <v>23</v>
      </c>
      <c r="E387" t="s">
        <v>14</v>
      </c>
      <c r="F387" t="s">
        <v>24</v>
      </c>
      <c r="G387" t="s">
        <v>16</v>
      </c>
      <c r="H387" s="23">
        <v>4979.68</v>
      </c>
      <c r="I387" s="23">
        <v>2783.93</v>
      </c>
      <c r="J387" s="23">
        <v>58502.720000000001</v>
      </c>
      <c r="K387" s="23">
        <v>1048.32</v>
      </c>
      <c r="L387" s="10">
        <v>39909934170</v>
      </c>
      <c r="M387" s="9">
        <v>115545015270</v>
      </c>
      <c r="N387" s="12">
        <f xml:space="preserve"> Tb_prod[[#This Row],[Costo_Mantenimiento_CLP]] / Tb_prod[[#This Row],[Dias_Operación_Mes]]</f>
        <v>1376204626.5517242</v>
      </c>
      <c r="O387" s="11">
        <f>Tb_prod[[#This Row],[Costo_Operativo_CLP]] / Tb_prod[[#This Row],[Producción_Toneladas]]</f>
        <v>23203301.270362753</v>
      </c>
      <c r="P387">
        <v>291</v>
      </c>
      <c r="Q387">
        <v>29</v>
      </c>
      <c r="R387" s="6">
        <v>45854</v>
      </c>
      <c r="S387" t="str">
        <f t="shared" si="13"/>
        <v>miércoles</v>
      </c>
      <c r="T387" t="str">
        <f t="shared" si="14"/>
        <v>julio</v>
      </c>
      <c r="U387">
        <v>83.76</v>
      </c>
      <c r="V387">
        <f xml:space="preserve"> Tb_prod[[#This Row],[Emisiones_CO2_ton]] / Tb_prod[[#This Row],[Cantidad_Empleados]]</f>
        <v>3.6024742268041234</v>
      </c>
      <c r="W387" t="str">
        <f>IF(Tb_prod[[#This Row],[Recuperación_Metal_Porcentaje]]&gt;90,"Alta",IF(Tb_prod[[#This Row],[Recuperación_Metal_Porcentaje]]&gt;75,"Media","Baja"))</f>
        <v>Media</v>
      </c>
      <c r="X387" t="str">
        <f>IF(AND(Tb_prod[[#This Row],[Consumo_Energia_MWh]]&lt;=2000,Tb_prod[[#This Row],[Riesgo_Ambiental]]="Alto"),"Crítica","Normal")</f>
        <v>Normal</v>
      </c>
    </row>
    <row r="388" spans="1:24">
      <c r="A388">
        <v>325</v>
      </c>
      <c r="B388" t="str">
        <f>VLOOKUP(Tb_prod[[#This Row],[Región]],AUX_REGION[],2,0)</f>
        <v>Minera del Norte</v>
      </c>
      <c r="C388" t="s">
        <v>27</v>
      </c>
      <c r="D388" t="s">
        <v>18</v>
      </c>
      <c r="E388" t="s">
        <v>14</v>
      </c>
      <c r="F388" t="s">
        <v>26</v>
      </c>
      <c r="G388" t="s">
        <v>20</v>
      </c>
      <c r="H388" s="23">
        <v>4298.43</v>
      </c>
      <c r="I388" s="23">
        <v>2184.2399999999998</v>
      </c>
      <c r="J388" s="23">
        <v>58588.72</v>
      </c>
      <c r="K388" s="23">
        <v>992.01</v>
      </c>
      <c r="L388" s="10">
        <v>21322473390</v>
      </c>
      <c r="M388" s="9">
        <v>130105611180</v>
      </c>
      <c r="N388" s="12">
        <f xml:space="preserve"> Tb_prod[[#This Row],[Costo_Mantenimiento_CLP]] / Tb_prod[[#This Row],[Dias_Operación_Mes]]</f>
        <v>1015355875.7142857</v>
      </c>
      <c r="O388" s="11">
        <f>Tb_prod[[#This Row],[Costo_Operativo_CLP]] / Tb_prod[[#This Row],[Producción_Toneladas]]</f>
        <v>30268170.280776933</v>
      </c>
      <c r="P388">
        <v>58</v>
      </c>
      <c r="Q388">
        <v>21</v>
      </c>
      <c r="R388" s="6">
        <v>45971</v>
      </c>
      <c r="S388" t="str">
        <f t="shared" si="13"/>
        <v>lunes</v>
      </c>
      <c r="T388" t="str">
        <f t="shared" si="14"/>
        <v>noviembre</v>
      </c>
      <c r="U388">
        <v>83.15</v>
      </c>
      <c r="V388">
        <f xml:space="preserve"> Tb_prod[[#This Row],[Emisiones_CO2_ton]] / Tb_prod[[#This Row],[Cantidad_Empleados]]</f>
        <v>17.103620689655173</v>
      </c>
      <c r="W388" t="str">
        <f>IF(Tb_prod[[#This Row],[Recuperación_Metal_Porcentaje]]&gt;90,"Alta",IF(Tb_prod[[#This Row],[Recuperación_Metal_Porcentaje]]&gt;75,"Media","Baja"))</f>
        <v>Media</v>
      </c>
      <c r="X388" t="str">
        <f>IF(AND(Tb_prod[[#This Row],[Consumo_Energia_MWh]]&lt;=2000,Tb_prod[[#This Row],[Riesgo_Ambiental]]="Alto"),"Crítica","Normal")</f>
        <v>Normal</v>
      </c>
    </row>
    <row r="389" spans="1:24">
      <c r="A389">
        <v>299</v>
      </c>
      <c r="B389" t="str">
        <f>VLOOKUP(Tb_prod[[#This Row],[Región]],AUX_REGION[],2,0)</f>
        <v>Minera Romero</v>
      </c>
      <c r="C389" t="s">
        <v>12</v>
      </c>
      <c r="D389" t="s">
        <v>23</v>
      </c>
      <c r="E389" t="s">
        <v>14</v>
      </c>
      <c r="F389" t="s">
        <v>15</v>
      </c>
      <c r="G389" t="s">
        <v>22</v>
      </c>
      <c r="H389" s="23">
        <v>3971.39</v>
      </c>
      <c r="I389" s="23">
        <v>1358.45</v>
      </c>
      <c r="J389" s="23">
        <v>58592.21</v>
      </c>
      <c r="K389" s="23">
        <v>1161.19</v>
      </c>
      <c r="L389" s="10">
        <v>39527707860</v>
      </c>
      <c r="M389" s="9">
        <v>88984876500</v>
      </c>
      <c r="N389" s="12">
        <f xml:space="preserve"> Tb_prod[[#This Row],[Costo_Mantenimiento_CLP]] / Tb_prod[[#This Row],[Dias_Operación_Mes]]</f>
        <v>1363024408.9655173</v>
      </c>
      <c r="O389" s="11">
        <f>Tb_prod[[#This Row],[Costo_Operativo_CLP]] / Tb_prod[[#This Row],[Producción_Toneladas]]</f>
        <v>22406481.483812973</v>
      </c>
      <c r="P389">
        <v>217</v>
      </c>
      <c r="Q389">
        <v>29</v>
      </c>
      <c r="R389" s="6">
        <v>45267</v>
      </c>
      <c r="S389" t="str">
        <f t="shared" si="13"/>
        <v>jueves</v>
      </c>
      <c r="T389" t="str">
        <f t="shared" si="14"/>
        <v>diciembre</v>
      </c>
      <c r="U389">
        <v>84.19</v>
      </c>
      <c r="V389">
        <f xml:space="preserve"> Tb_prod[[#This Row],[Emisiones_CO2_ton]] / Tb_prod[[#This Row],[Cantidad_Empleados]]</f>
        <v>5.3511059907834104</v>
      </c>
      <c r="W389" t="str">
        <f>IF(Tb_prod[[#This Row],[Recuperación_Metal_Porcentaje]]&gt;90,"Alta",IF(Tb_prod[[#This Row],[Recuperación_Metal_Porcentaje]]&gt;75,"Media","Baja"))</f>
        <v>Media</v>
      </c>
      <c r="X389" t="str">
        <f>IF(AND(Tb_prod[[#This Row],[Consumo_Energia_MWh]]&lt;=2000,Tb_prod[[#This Row],[Riesgo_Ambiental]]="Alto"),"Crítica","Normal")</f>
        <v>Normal</v>
      </c>
    </row>
    <row r="390" spans="1:24">
      <c r="A390">
        <v>373</v>
      </c>
      <c r="B390" t="str">
        <f>VLOOKUP(Tb_prod[[#This Row],[Región]],AUX_REGION[],2,0)</f>
        <v>Minera Staff</v>
      </c>
      <c r="C390" t="s">
        <v>25</v>
      </c>
      <c r="D390" t="s">
        <v>13</v>
      </c>
      <c r="E390" t="s">
        <v>14</v>
      </c>
      <c r="F390" t="s">
        <v>24</v>
      </c>
      <c r="G390" t="s">
        <v>22</v>
      </c>
      <c r="H390" s="23">
        <v>4832.72</v>
      </c>
      <c r="I390" s="23">
        <v>1511.99</v>
      </c>
      <c r="J390" s="23">
        <v>58639.09</v>
      </c>
      <c r="K390" s="23">
        <v>1492.16</v>
      </c>
      <c r="L390" s="10">
        <v>3157841250</v>
      </c>
      <c r="M390" s="9">
        <v>147201076080</v>
      </c>
      <c r="N390" s="12">
        <f xml:space="preserve"> Tb_prod[[#This Row],[Costo_Mantenimiento_CLP]] / Tb_prod[[#This Row],[Dias_Operación_Mes]]</f>
        <v>116957083.33333333</v>
      </c>
      <c r="O390" s="11">
        <f>Tb_prod[[#This Row],[Costo_Operativo_CLP]] / Tb_prod[[#This Row],[Producción_Toneladas]]</f>
        <v>30459260.226125244</v>
      </c>
      <c r="P390">
        <v>188</v>
      </c>
      <c r="Q390">
        <v>27</v>
      </c>
      <c r="R390" s="6">
        <v>45616</v>
      </c>
      <c r="S390" t="str">
        <f t="shared" si="13"/>
        <v>miércoles</v>
      </c>
      <c r="T390" t="str">
        <f t="shared" si="14"/>
        <v>noviembre</v>
      </c>
      <c r="U390">
        <v>71.790000000000006</v>
      </c>
      <c r="V390">
        <f xml:space="preserve"> Tb_prod[[#This Row],[Emisiones_CO2_ton]] / Tb_prod[[#This Row],[Cantidad_Empleados]]</f>
        <v>7.9370212765957451</v>
      </c>
      <c r="W390" t="str">
        <f>IF(Tb_prod[[#This Row],[Recuperación_Metal_Porcentaje]]&gt;90,"Alta",IF(Tb_prod[[#This Row],[Recuperación_Metal_Porcentaje]]&gt;75,"Media","Baja"))</f>
        <v>Baja</v>
      </c>
      <c r="X390" t="str">
        <f>IF(AND(Tb_prod[[#This Row],[Consumo_Energia_MWh]]&lt;=2000,Tb_prod[[#This Row],[Riesgo_Ambiental]]="Alto"),"Crítica","Normal")</f>
        <v>Normal</v>
      </c>
    </row>
    <row r="391" spans="1:24">
      <c r="A391">
        <v>205</v>
      </c>
      <c r="B391" t="str">
        <f>VLOOKUP(Tb_prod[[#This Row],[Región]],AUX_REGION[],2,0)</f>
        <v>Minera del Norte</v>
      </c>
      <c r="C391" t="s">
        <v>12</v>
      </c>
      <c r="D391" t="s">
        <v>18</v>
      </c>
      <c r="E391" t="s">
        <v>19</v>
      </c>
      <c r="F391" t="s">
        <v>24</v>
      </c>
      <c r="G391" t="s">
        <v>20</v>
      </c>
      <c r="H391" s="23">
        <v>7944.23</v>
      </c>
      <c r="I391" s="23">
        <v>1892.83</v>
      </c>
      <c r="J391" s="23">
        <v>58653.11</v>
      </c>
      <c r="K391" s="23">
        <v>881.07</v>
      </c>
      <c r="L391" s="10">
        <v>4443881850</v>
      </c>
      <c r="M391" s="9">
        <v>172082900430</v>
      </c>
      <c r="N391" s="12">
        <f xml:space="preserve"> Tb_prod[[#This Row],[Costo_Mantenimiento_CLP]] / Tb_prod[[#This Row],[Dias_Operación_Mes]]</f>
        <v>177755274</v>
      </c>
      <c r="O391" s="11">
        <f>Tb_prod[[#This Row],[Costo_Operativo_CLP]] / Tb_prod[[#This Row],[Producción_Toneladas]]</f>
        <v>21661369.37500551</v>
      </c>
      <c r="P391">
        <v>145</v>
      </c>
      <c r="Q391">
        <v>25</v>
      </c>
      <c r="R391" s="6">
        <v>45025</v>
      </c>
      <c r="S391" t="str">
        <f t="shared" si="13"/>
        <v>domingo</v>
      </c>
      <c r="T391" t="str">
        <f t="shared" si="14"/>
        <v>abril</v>
      </c>
      <c r="U391">
        <v>92.2</v>
      </c>
      <c r="V391">
        <f xml:space="preserve"> Tb_prod[[#This Row],[Emisiones_CO2_ton]] / Tb_prod[[#This Row],[Cantidad_Empleados]]</f>
        <v>6.0763448275862073</v>
      </c>
      <c r="W391" t="str">
        <f>IF(Tb_prod[[#This Row],[Recuperación_Metal_Porcentaje]]&gt;90,"Alta",IF(Tb_prod[[#This Row],[Recuperación_Metal_Porcentaje]]&gt;75,"Media","Baja"))</f>
        <v>Alta</v>
      </c>
      <c r="X391" t="str">
        <f>IF(AND(Tb_prod[[#This Row],[Consumo_Energia_MWh]]&lt;=2000,Tb_prod[[#This Row],[Riesgo_Ambiental]]="Alto"),"Crítica","Normal")</f>
        <v>Crítica</v>
      </c>
    </row>
    <row r="392" spans="1:24">
      <c r="A392">
        <v>356</v>
      </c>
      <c r="B392" t="str">
        <f>VLOOKUP(Tb_prod[[#This Row],[Región]],AUX_REGION[],2,0)</f>
        <v>Minera Romero</v>
      </c>
      <c r="C392" t="s">
        <v>21</v>
      </c>
      <c r="D392" t="s">
        <v>23</v>
      </c>
      <c r="E392" t="s">
        <v>14</v>
      </c>
      <c r="F392" t="s">
        <v>26</v>
      </c>
      <c r="G392" t="s">
        <v>20</v>
      </c>
      <c r="H392" s="23">
        <v>5760.52</v>
      </c>
      <c r="I392" s="23">
        <v>2164.81</v>
      </c>
      <c r="J392" s="23">
        <v>58738.83</v>
      </c>
      <c r="K392" s="23">
        <v>1091.3900000000001</v>
      </c>
      <c r="L392" s="10">
        <v>35133733800</v>
      </c>
      <c r="M392" s="9">
        <v>137748630330</v>
      </c>
      <c r="N392" s="12">
        <f xml:space="preserve"> Tb_prod[[#This Row],[Costo_Mantenimiento_CLP]] / Tb_prod[[#This Row],[Dias_Operación_Mes]]</f>
        <v>1254776207.1428571</v>
      </c>
      <c r="O392" s="11">
        <f>Tb_prod[[#This Row],[Costo_Operativo_CLP]] / Tb_prod[[#This Row],[Producción_Toneladas]]</f>
        <v>23912533.995194875</v>
      </c>
      <c r="P392">
        <v>217</v>
      </c>
      <c r="Q392">
        <v>28</v>
      </c>
      <c r="R392" s="6">
        <v>45283</v>
      </c>
      <c r="S392" t="str">
        <f t="shared" si="13"/>
        <v>sábado</v>
      </c>
      <c r="T392" t="str">
        <f t="shared" si="14"/>
        <v>diciembre</v>
      </c>
      <c r="U392">
        <v>81.709999999999994</v>
      </c>
      <c r="V392">
        <f xml:space="preserve"> Tb_prod[[#This Row],[Emisiones_CO2_ton]] / Tb_prod[[#This Row],[Cantidad_Empleados]]</f>
        <v>5.0294470046082953</v>
      </c>
      <c r="W392" t="str">
        <f>IF(Tb_prod[[#This Row],[Recuperación_Metal_Porcentaje]]&gt;90,"Alta",IF(Tb_prod[[#This Row],[Recuperación_Metal_Porcentaje]]&gt;75,"Media","Baja"))</f>
        <v>Media</v>
      </c>
      <c r="X392" t="str">
        <f>IF(AND(Tb_prod[[#This Row],[Consumo_Energia_MWh]]&lt;=2000,Tb_prod[[#This Row],[Riesgo_Ambiental]]="Alto"),"Crítica","Normal")</f>
        <v>Normal</v>
      </c>
    </row>
    <row r="393" spans="1:24">
      <c r="A393">
        <v>335</v>
      </c>
      <c r="B393" t="str">
        <f>VLOOKUP(Tb_prod[[#This Row],[Región]],AUX_REGION[],2,0)</f>
        <v>Minera del Norte</v>
      </c>
      <c r="C393" t="s">
        <v>12</v>
      </c>
      <c r="D393" t="s">
        <v>18</v>
      </c>
      <c r="E393" t="s">
        <v>19</v>
      </c>
      <c r="F393" t="s">
        <v>26</v>
      </c>
      <c r="G393" t="s">
        <v>22</v>
      </c>
      <c r="H393" s="23">
        <v>3678.34</v>
      </c>
      <c r="I393" s="23">
        <v>1197.28</v>
      </c>
      <c r="J393" s="23">
        <v>59027.9</v>
      </c>
      <c r="K393" s="23">
        <v>979.9</v>
      </c>
      <c r="L393" s="10">
        <v>8221900410</v>
      </c>
      <c r="M393" s="9">
        <v>102364236360</v>
      </c>
      <c r="N393" s="12">
        <f xml:space="preserve"> Tb_prod[[#This Row],[Costo_Mantenimiento_CLP]] / Tb_prod[[#This Row],[Dias_Operación_Mes]]</f>
        <v>373722745.90909094</v>
      </c>
      <c r="O393" s="11">
        <f>Tb_prod[[#This Row],[Costo_Operativo_CLP]] / Tb_prod[[#This Row],[Producción_Toneladas]]</f>
        <v>27828921.839742925</v>
      </c>
      <c r="P393">
        <v>121</v>
      </c>
      <c r="Q393">
        <v>22</v>
      </c>
      <c r="R393" s="6">
        <v>45630</v>
      </c>
      <c r="S393" t="str">
        <f t="shared" si="13"/>
        <v>miércoles</v>
      </c>
      <c r="T393" t="str">
        <f t="shared" si="14"/>
        <v>diciembre</v>
      </c>
      <c r="U393">
        <v>91.1</v>
      </c>
      <c r="V393">
        <f xml:space="preserve"> Tb_prod[[#This Row],[Emisiones_CO2_ton]] / Tb_prod[[#This Row],[Cantidad_Empleados]]</f>
        <v>8.0983471074380162</v>
      </c>
      <c r="W393" t="str">
        <f>IF(Tb_prod[[#This Row],[Recuperación_Metal_Porcentaje]]&gt;90,"Alta",IF(Tb_prod[[#This Row],[Recuperación_Metal_Porcentaje]]&gt;75,"Media","Baja"))</f>
        <v>Alta</v>
      </c>
      <c r="X393" t="str">
        <f>IF(AND(Tb_prod[[#This Row],[Consumo_Energia_MWh]]&lt;=2000,Tb_prod[[#This Row],[Riesgo_Ambiental]]="Alto"),"Crítica","Normal")</f>
        <v>Normal</v>
      </c>
    </row>
    <row r="394" spans="1:24">
      <c r="A394">
        <v>13</v>
      </c>
      <c r="B394" t="str">
        <f>VLOOKUP(Tb_prod[[#This Row],[Región]],AUX_REGION[],2,0)</f>
        <v>Minera Staff</v>
      </c>
      <c r="C394" t="s">
        <v>17</v>
      </c>
      <c r="D394" t="s">
        <v>13</v>
      </c>
      <c r="E394" t="s">
        <v>19</v>
      </c>
      <c r="F394" t="s">
        <v>26</v>
      </c>
      <c r="G394" t="s">
        <v>16</v>
      </c>
      <c r="H394" s="23">
        <v>3582.96</v>
      </c>
      <c r="I394" s="23">
        <v>2463.86</v>
      </c>
      <c r="J394" s="23">
        <v>59289.5</v>
      </c>
      <c r="K394" s="23">
        <v>1243.58</v>
      </c>
      <c r="L394" s="10">
        <v>38454918840</v>
      </c>
      <c r="M394" s="9">
        <v>7967498670</v>
      </c>
      <c r="N394" s="12">
        <f xml:space="preserve"> Tb_prod[[#This Row],[Costo_Mantenimiento_CLP]] / Tb_prod[[#This Row],[Dias_Operación_Mes]]</f>
        <v>1602288285</v>
      </c>
      <c r="O394" s="11">
        <f>Tb_prod[[#This Row],[Costo_Operativo_CLP]] / Tb_prod[[#This Row],[Producción_Toneladas]]</f>
        <v>2223719.6814923971</v>
      </c>
      <c r="P394">
        <v>173</v>
      </c>
      <c r="Q394">
        <v>24</v>
      </c>
      <c r="R394" s="6">
        <v>45805</v>
      </c>
      <c r="S394" t="str">
        <f t="shared" si="13"/>
        <v>miércoles</v>
      </c>
      <c r="T394" t="str">
        <f t="shared" si="14"/>
        <v>mayo</v>
      </c>
      <c r="U394">
        <v>77.56</v>
      </c>
      <c r="V394">
        <f xml:space="preserve"> Tb_prod[[#This Row],[Emisiones_CO2_ton]] / Tb_prod[[#This Row],[Cantidad_Empleados]]</f>
        <v>7.1883236994219653</v>
      </c>
      <c r="W394" t="str">
        <f>IF(Tb_prod[[#This Row],[Recuperación_Metal_Porcentaje]]&gt;90,"Alta",IF(Tb_prod[[#This Row],[Recuperación_Metal_Porcentaje]]&gt;75,"Media","Baja"))</f>
        <v>Media</v>
      </c>
      <c r="X394" t="str">
        <f>IF(AND(Tb_prod[[#This Row],[Consumo_Energia_MWh]]&lt;=2000,Tb_prod[[#This Row],[Riesgo_Ambiental]]="Alto"),"Crítica","Normal")</f>
        <v>Normal</v>
      </c>
    </row>
    <row r="395" spans="1:24">
      <c r="A395">
        <v>182</v>
      </c>
      <c r="B395" t="str">
        <f>VLOOKUP(Tb_prod[[#This Row],[Región]],AUX_REGION[],2,0)</f>
        <v>Minera Romero</v>
      </c>
      <c r="C395" t="s">
        <v>21</v>
      </c>
      <c r="D395" t="s">
        <v>23</v>
      </c>
      <c r="E395" t="s">
        <v>14</v>
      </c>
      <c r="F395" t="s">
        <v>24</v>
      </c>
      <c r="G395" t="s">
        <v>16</v>
      </c>
      <c r="H395" s="23">
        <v>6290.14</v>
      </c>
      <c r="I395" s="23">
        <v>2329.6799999999998</v>
      </c>
      <c r="J395" s="23">
        <v>59309.43</v>
      </c>
      <c r="K395" s="23">
        <v>1382.5</v>
      </c>
      <c r="L395" s="10">
        <v>28772702820</v>
      </c>
      <c r="M395" s="9">
        <v>92134285110</v>
      </c>
      <c r="N395" s="12">
        <f xml:space="preserve"> Tb_prod[[#This Row],[Costo_Mantenimiento_CLP]] / Tb_prod[[#This Row],[Dias_Operación_Mes]]</f>
        <v>1150908112.8</v>
      </c>
      <c r="O395" s="11">
        <f>Tb_prod[[#This Row],[Costo_Operativo_CLP]] / Tb_prod[[#This Row],[Producción_Toneladas]]</f>
        <v>14647414.065505695</v>
      </c>
      <c r="P395">
        <v>103</v>
      </c>
      <c r="Q395">
        <v>25</v>
      </c>
      <c r="R395" s="6">
        <v>45189</v>
      </c>
      <c r="S395" t="str">
        <f t="shared" si="13"/>
        <v>miércoles</v>
      </c>
      <c r="T395" t="str">
        <f t="shared" si="14"/>
        <v>septiembre</v>
      </c>
      <c r="U395">
        <v>74.290000000000006</v>
      </c>
      <c r="V395">
        <f xml:space="preserve"> Tb_prod[[#This Row],[Emisiones_CO2_ton]] / Tb_prod[[#This Row],[Cantidad_Empleados]]</f>
        <v>13.422330097087379</v>
      </c>
      <c r="W395" t="str">
        <f>IF(Tb_prod[[#This Row],[Recuperación_Metal_Porcentaje]]&gt;90,"Alta",IF(Tb_prod[[#This Row],[Recuperación_Metal_Porcentaje]]&gt;75,"Media","Baja"))</f>
        <v>Baja</v>
      </c>
      <c r="X395" t="str">
        <f>IF(AND(Tb_prod[[#This Row],[Consumo_Energia_MWh]]&lt;=2000,Tb_prod[[#This Row],[Riesgo_Ambiental]]="Alto"),"Crítica","Normal")</f>
        <v>Normal</v>
      </c>
    </row>
    <row r="396" spans="1:24">
      <c r="A396">
        <v>191</v>
      </c>
      <c r="B396" t="str">
        <f>VLOOKUP(Tb_prod[[#This Row],[Región]],AUX_REGION[],2,0)</f>
        <v>Minera del Norte</v>
      </c>
      <c r="C396" t="s">
        <v>25</v>
      </c>
      <c r="D396" t="s">
        <v>18</v>
      </c>
      <c r="E396" t="s">
        <v>14</v>
      </c>
      <c r="F396" t="s">
        <v>26</v>
      </c>
      <c r="G396" t="s">
        <v>22</v>
      </c>
      <c r="H396" s="23">
        <v>7439.78</v>
      </c>
      <c r="I396" s="23">
        <v>1675.91</v>
      </c>
      <c r="J396" s="23">
        <v>59346.93</v>
      </c>
      <c r="K396" s="23">
        <v>1293.27</v>
      </c>
      <c r="L396" s="10">
        <v>38012049810</v>
      </c>
      <c r="M396" s="9">
        <v>130967129520</v>
      </c>
      <c r="N396" s="12">
        <f xml:space="preserve"> Tb_prod[[#This Row],[Costo_Mantenimiento_CLP]] / Tb_prod[[#This Row],[Dias_Operación_Mes]]</f>
        <v>1520481992.4000001</v>
      </c>
      <c r="O396" s="11">
        <f>Tb_prod[[#This Row],[Costo_Operativo_CLP]] / Tb_prod[[#This Row],[Producción_Toneladas]]</f>
        <v>17603629.343878448</v>
      </c>
      <c r="P396">
        <v>240</v>
      </c>
      <c r="Q396">
        <v>25</v>
      </c>
      <c r="R396" s="6">
        <v>45379</v>
      </c>
      <c r="S396" t="str">
        <f t="shared" si="13"/>
        <v>jueves</v>
      </c>
      <c r="T396" t="str">
        <f t="shared" si="14"/>
        <v>marzo</v>
      </c>
      <c r="U396">
        <v>85.56</v>
      </c>
      <c r="V396">
        <f xml:space="preserve"> Tb_prod[[#This Row],[Emisiones_CO2_ton]] / Tb_prod[[#This Row],[Cantidad_Empleados]]</f>
        <v>5.3886250000000002</v>
      </c>
      <c r="W396" t="str">
        <f>IF(Tb_prod[[#This Row],[Recuperación_Metal_Porcentaje]]&gt;90,"Alta",IF(Tb_prod[[#This Row],[Recuperación_Metal_Porcentaje]]&gt;75,"Media","Baja"))</f>
        <v>Media</v>
      </c>
      <c r="X396" t="str">
        <f>IF(AND(Tb_prod[[#This Row],[Consumo_Energia_MWh]]&lt;=2000,Tb_prod[[#This Row],[Riesgo_Ambiental]]="Alto"),"Crítica","Normal")</f>
        <v>Normal</v>
      </c>
    </row>
    <row r="397" spans="1:24">
      <c r="A397">
        <v>380</v>
      </c>
      <c r="B397" t="str">
        <f>VLOOKUP(Tb_prod[[#This Row],[Región]],AUX_REGION[],2,0)</f>
        <v>Minera Staff</v>
      </c>
      <c r="C397" t="s">
        <v>17</v>
      </c>
      <c r="D397" t="s">
        <v>13</v>
      </c>
      <c r="E397" t="s">
        <v>14</v>
      </c>
      <c r="F397" t="s">
        <v>15</v>
      </c>
      <c r="G397" t="s">
        <v>16</v>
      </c>
      <c r="H397" s="23">
        <v>6746.65</v>
      </c>
      <c r="I397" s="23">
        <v>1325.66</v>
      </c>
      <c r="J397" s="23">
        <v>59373.65</v>
      </c>
      <c r="K397" s="23">
        <v>1258.1400000000001</v>
      </c>
      <c r="L397" s="10">
        <v>3118960890</v>
      </c>
      <c r="M397" s="9">
        <v>164267974440</v>
      </c>
      <c r="N397" s="12">
        <f xml:space="preserve"> Tb_prod[[#This Row],[Costo_Mantenimiento_CLP]] / Tb_prod[[#This Row],[Dias_Operación_Mes]]</f>
        <v>103965363</v>
      </c>
      <c r="O397" s="11">
        <f>Tb_prod[[#This Row],[Costo_Operativo_CLP]] / Tb_prod[[#This Row],[Producción_Toneladas]]</f>
        <v>24348080.075296629</v>
      </c>
      <c r="P397">
        <v>153</v>
      </c>
      <c r="Q397">
        <v>30</v>
      </c>
      <c r="R397" s="6">
        <v>45987</v>
      </c>
      <c r="S397" t="str">
        <f t="shared" si="13"/>
        <v>miércoles</v>
      </c>
      <c r="T397" t="str">
        <f t="shared" si="14"/>
        <v>noviembre</v>
      </c>
      <c r="U397">
        <v>78.099999999999994</v>
      </c>
      <c r="V397">
        <f xml:space="preserve"> Tb_prod[[#This Row],[Emisiones_CO2_ton]] / Tb_prod[[#This Row],[Cantidad_Empleados]]</f>
        <v>8.2231372549019621</v>
      </c>
      <c r="W397" t="str">
        <f>IF(Tb_prod[[#This Row],[Recuperación_Metal_Porcentaje]]&gt;90,"Alta",IF(Tb_prod[[#This Row],[Recuperación_Metal_Porcentaje]]&gt;75,"Media","Baja"))</f>
        <v>Media</v>
      </c>
      <c r="X397" t="str">
        <f>IF(AND(Tb_prod[[#This Row],[Consumo_Energia_MWh]]&lt;=2000,Tb_prod[[#This Row],[Riesgo_Ambiental]]="Alto"),"Crítica","Normal")</f>
        <v>Normal</v>
      </c>
    </row>
    <row r="398" spans="1:24">
      <c r="A398">
        <v>97</v>
      </c>
      <c r="B398" t="str">
        <f>VLOOKUP(Tb_prod[[#This Row],[Región]],AUX_REGION[],2,0)</f>
        <v>Minera Staff</v>
      </c>
      <c r="C398" t="s">
        <v>17</v>
      </c>
      <c r="D398" t="s">
        <v>13</v>
      </c>
      <c r="E398" t="s">
        <v>14</v>
      </c>
      <c r="F398" t="s">
        <v>26</v>
      </c>
      <c r="G398" t="s">
        <v>22</v>
      </c>
      <c r="H398" s="23">
        <v>8752.5499999999993</v>
      </c>
      <c r="I398" s="23">
        <v>1756.28</v>
      </c>
      <c r="J398" s="23">
        <v>59492.36</v>
      </c>
      <c r="K398" s="23">
        <v>1079.3900000000001</v>
      </c>
      <c r="L398" s="10">
        <v>34134683940</v>
      </c>
      <c r="M398" s="9">
        <v>108346450860</v>
      </c>
      <c r="N398" s="12">
        <f xml:space="preserve"> Tb_prod[[#This Row],[Costo_Mantenimiento_CLP]] / Tb_prod[[#This Row],[Dias_Operación_Mes]]</f>
        <v>1422278497.5</v>
      </c>
      <c r="O398" s="11">
        <f>Tb_prod[[#This Row],[Costo_Operativo_CLP]] / Tb_prod[[#This Row],[Producción_Toneladas]]</f>
        <v>12378843.978040686</v>
      </c>
      <c r="P398">
        <v>217</v>
      </c>
      <c r="Q398">
        <v>24</v>
      </c>
      <c r="R398" s="6">
        <v>45025</v>
      </c>
      <c r="S398" t="str">
        <f t="shared" si="13"/>
        <v>domingo</v>
      </c>
      <c r="T398" t="str">
        <f t="shared" si="14"/>
        <v>abril</v>
      </c>
      <c r="U398">
        <v>96.23</v>
      </c>
      <c r="V398">
        <f xml:space="preserve"> Tb_prod[[#This Row],[Emisiones_CO2_ton]] / Tb_prod[[#This Row],[Cantidad_Empleados]]</f>
        <v>4.9741474654377882</v>
      </c>
      <c r="W398" t="str">
        <f>IF(Tb_prod[[#This Row],[Recuperación_Metal_Porcentaje]]&gt;90,"Alta",IF(Tb_prod[[#This Row],[Recuperación_Metal_Porcentaje]]&gt;75,"Media","Baja"))</f>
        <v>Alta</v>
      </c>
      <c r="X398" t="str">
        <f>IF(AND(Tb_prod[[#This Row],[Consumo_Energia_MWh]]&lt;=2000,Tb_prod[[#This Row],[Riesgo_Ambiental]]="Alto"),"Crítica","Normal")</f>
        <v>Normal</v>
      </c>
    </row>
    <row r="399" spans="1:24">
      <c r="A399">
        <v>396</v>
      </c>
      <c r="B399" t="str">
        <f>VLOOKUP(Tb_prod[[#This Row],[Región]],AUX_REGION[],2,0)</f>
        <v>Minera Romero</v>
      </c>
      <c r="C399" t="s">
        <v>17</v>
      </c>
      <c r="D399" t="s">
        <v>23</v>
      </c>
      <c r="E399" t="s">
        <v>19</v>
      </c>
      <c r="F399" t="s">
        <v>24</v>
      </c>
      <c r="G399" t="s">
        <v>22</v>
      </c>
      <c r="H399" s="23">
        <v>5087.6000000000004</v>
      </c>
      <c r="I399" s="23">
        <v>1523.26</v>
      </c>
      <c r="J399" s="23">
        <v>59493.760000000002</v>
      </c>
      <c r="K399" s="23">
        <v>911.85</v>
      </c>
      <c r="L399" s="10">
        <v>13224163680</v>
      </c>
      <c r="M399" s="9">
        <v>43023697290</v>
      </c>
      <c r="N399" s="12">
        <f xml:space="preserve"> Tb_prod[[#This Row],[Costo_Mantenimiento_CLP]] / Tb_prod[[#This Row],[Dias_Operación_Mes]]</f>
        <v>489783840</v>
      </c>
      <c r="O399" s="11">
        <f>Tb_prod[[#This Row],[Costo_Operativo_CLP]] / Tb_prod[[#This Row],[Producción_Toneladas]]</f>
        <v>8456580.1733626854</v>
      </c>
      <c r="P399">
        <v>117</v>
      </c>
      <c r="Q399">
        <v>27</v>
      </c>
      <c r="R399" s="6">
        <v>45655</v>
      </c>
      <c r="S399" t="str">
        <f t="shared" si="13"/>
        <v>domingo</v>
      </c>
      <c r="T399" t="str">
        <f t="shared" si="14"/>
        <v>diciembre</v>
      </c>
      <c r="U399">
        <v>72.599999999999994</v>
      </c>
      <c r="V399">
        <f xml:space="preserve"> Tb_prod[[#This Row],[Emisiones_CO2_ton]] / Tb_prod[[#This Row],[Cantidad_Empleados]]</f>
        <v>7.7935897435897434</v>
      </c>
      <c r="W399" t="str">
        <f>IF(Tb_prod[[#This Row],[Recuperación_Metal_Porcentaje]]&gt;90,"Alta",IF(Tb_prod[[#This Row],[Recuperación_Metal_Porcentaje]]&gt;75,"Media","Baja"))</f>
        <v>Baja</v>
      </c>
      <c r="X399" t="str">
        <f>IF(AND(Tb_prod[[#This Row],[Consumo_Energia_MWh]]&lt;=2000,Tb_prod[[#This Row],[Riesgo_Ambiental]]="Alto"),"Crítica","Normal")</f>
        <v>Normal</v>
      </c>
    </row>
    <row r="400" spans="1:24">
      <c r="A400">
        <v>292</v>
      </c>
      <c r="B400" t="str">
        <f>VLOOKUP(Tb_prod[[#This Row],[Región]],AUX_REGION[],2,0)</f>
        <v>Minera Romero</v>
      </c>
      <c r="C400" t="s">
        <v>27</v>
      </c>
      <c r="D400" t="s">
        <v>23</v>
      </c>
      <c r="E400" t="s">
        <v>14</v>
      </c>
      <c r="F400" t="s">
        <v>15</v>
      </c>
      <c r="G400" t="s">
        <v>22</v>
      </c>
      <c r="H400" s="23">
        <v>5567.85</v>
      </c>
      <c r="I400" s="23">
        <v>2085.1</v>
      </c>
      <c r="J400" s="23">
        <v>59550.27</v>
      </c>
      <c r="K400" s="23">
        <v>997.75</v>
      </c>
      <c r="L400" s="10">
        <v>18400230000</v>
      </c>
      <c r="M400" s="9">
        <v>70843213890</v>
      </c>
      <c r="N400" s="12">
        <f xml:space="preserve"> Tb_prod[[#This Row],[Costo_Mantenimiento_CLP]] / Tb_prod[[#This Row],[Dias_Operación_Mes]]</f>
        <v>681490000</v>
      </c>
      <c r="O400" s="11">
        <f>Tb_prod[[#This Row],[Costo_Operativo_CLP]] / Tb_prod[[#This Row],[Producción_Toneladas]]</f>
        <v>12723621.126646729</v>
      </c>
      <c r="P400">
        <v>220</v>
      </c>
      <c r="Q400">
        <v>27</v>
      </c>
      <c r="R400" s="6">
        <v>45501</v>
      </c>
      <c r="S400" t="str">
        <f t="shared" si="13"/>
        <v>domingo</v>
      </c>
      <c r="T400" t="str">
        <f t="shared" si="14"/>
        <v>julio</v>
      </c>
      <c r="U400">
        <v>75.349999999999994</v>
      </c>
      <c r="V400">
        <f xml:space="preserve"> Tb_prod[[#This Row],[Emisiones_CO2_ton]] / Tb_prod[[#This Row],[Cantidad_Empleados]]</f>
        <v>4.5352272727272727</v>
      </c>
      <c r="W400" t="str">
        <f>IF(Tb_prod[[#This Row],[Recuperación_Metal_Porcentaje]]&gt;90,"Alta",IF(Tb_prod[[#This Row],[Recuperación_Metal_Porcentaje]]&gt;75,"Media","Baja"))</f>
        <v>Media</v>
      </c>
      <c r="X400" t="str">
        <f>IF(AND(Tb_prod[[#This Row],[Consumo_Energia_MWh]]&lt;=2000,Tb_prod[[#This Row],[Riesgo_Ambiental]]="Alto"),"Crítica","Normal")</f>
        <v>Normal</v>
      </c>
    </row>
    <row r="401" spans="1:24">
      <c r="A401">
        <v>76</v>
      </c>
      <c r="B401" t="str">
        <f>VLOOKUP(Tb_prod[[#This Row],[Región]],AUX_REGION[],2,0)</f>
        <v>Minera Staff</v>
      </c>
      <c r="C401" t="s">
        <v>25</v>
      </c>
      <c r="D401" t="s">
        <v>13</v>
      </c>
      <c r="E401" t="s">
        <v>19</v>
      </c>
      <c r="F401" t="s">
        <v>15</v>
      </c>
      <c r="G401" t="s">
        <v>16</v>
      </c>
      <c r="H401" s="23">
        <v>4321.51</v>
      </c>
      <c r="I401" s="23">
        <v>2529.2600000000002</v>
      </c>
      <c r="J401" s="23">
        <v>59563.79</v>
      </c>
      <c r="K401" s="23">
        <v>985.54</v>
      </c>
      <c r="L401" s="10">
        <v>43677995220</v>
      </c>
      <c r="M401" s="9">
        <v>168625749870</v>
      </c>
      <c r="N401" s="12">
        <f xml:space="preserve"> Tb_prod[[#This Row],[Costo_Mantenimiento_CLP]] / Tb_prod[[#This Row],[Dias_Operación_Mes]]</f>
        <v>1747119808.8</v>
      </c>
      <c r="O401" s="11">
        <f>Tb_prod[[#This Row],[Costo_Operativo_CLP]] / Tb_prod[[#This Row],[Producción_Toneladas]]</f>
        <v>39020099.42589511</v>
      </c>
      <c r="P401">
        <v>131</v>
      </c>
      <c r="Q401">
        <v>25</v>
      </c>
      <c r="R401" s="6">
        <v>45575</v>
      </c>
      <c r="S401" t="str">
        <f t="shared" si="13"/>
        <v>jueves</v>
      </c>
      <c r="T401" t="str">
        <f t="shared" si="14"/>
        <v>octubre</v>
      </c>
      <c r="U401">
        <v>98.49</v>
      </c>
      <c r="V401">
        <f xml:space="preserve"> Tb_prod[[#This Row],[Emisiones_CO2_ton]] / Tb_prod[[#This Row],[Cantidad_Empleados]]</f>
        <v>7.5232061068702292</v>
      </c>
      <c r="W401" t="str">
        <f>IF(Tb_prod[[#This Row],[Recuperación_Metal_Porcentaje]]&gt;90,"Alta",IF(Tb_prod[[#This Row],[Recuperación_Metal_Porcentaje]]&gt;75,"Media","Baja"))</f>
        <v>Alta</v>
      </c>
      <c r="X401" t="str">
        <f>IF(AND(Tb_prod[[#This Row],[Consumo_Energia_MWh]]&lt;=2000,Tb_prod[[#This Row],[Riesgo_Ambiental]]="Alto"),"Crítica","Normal")</f>
        <v>Normal</v>
      </c>
    </row>
    <row r="402" spans="1:24">
      <c r="A402">
        <v>241</v>
      </c>
      <c r="B402" t="str">
        <f>VLOOKUP(Tb_prod[[#This Row],[Región]],AUX_REGION[],2,0)</f>
        <v>Minera Romero</v>
      </c>
      <c r="C402" t="s">
        <v>21</v>
      </c>
      <c r="D402" t="s">
        <v>23</v>
      </c>
      <c r="E402" t="s">
        <v>14</v>
      </c>
      <c r="F402" t="s">
        <v>15</v>
      </c>
      <c r="G402" t="s">
        <v>16</v>
      </c>
      <c r="H402" s="23">
        <v>4130.45</v>
      </c>
      <c r="I402" s="23">
        <v>1133.27</v>
      </c>
      <c r="J402" s="23">
        <v>59592.72</v>
      </c>
      <c r="K402" s="23">
        <v>857.59</v>
      </c>
      <c r="L402" s="10">
        <v>13706973090</v>
      </c>
      <c r="M402" s="9">
        <v>1183544555700</v>
      </c>
      <c r="N402" s="12">
        <f xml:space="preserve"> Tb_prod[[#This Row],[Costo_Mantenimiento_CLP]] / Tb_prod[[#This Row],[Dias_Operación_Mes]]</f>
        <v>489534753.21428573</v>
      </c>
      <c r="O402" s="11">
        <f>Tb_prod[[#This Row],[Costo_Operativo_CLP]] / Tb_prod[[#This Row],[Producción_Toneladas]]</f>
        <v>286541310.43832999</v>
      </c>
      <c r="P402">
        <v>219</v>
      </c>
      <c r="Q402">
        <v>28</v>
      </c>
      <c r="R402" s="6">
        <v>44943</v>
      </c>
      <c r="S402" t="str">
        <f t="shared" si="13"/>
        <v>martes</v>
      </c>
      <c r="T402" t="str">
        <f t="shared" si="14"/>
        <v>enero</v>
      </c>
      <c r="U402">
        <v>90.21</v>
      </c>
      <c r="V402">
        <f xml:space="preserve"> Tb_prod[[#This Row],[Emisiones_CO2_ton]] / Tb_prod[[#This Row],[Cantidad_Empleados]]</f>
        <v>3.9159360730593611</v>
      </c>
      <c r="W402" t="str">
        <f>IF(Tb_prod[[#This Row],[Recuperación_Metal_Porcentaje]]&gt;90,"Alta",IF(Tb_prod[[#This Row],[Recuperación_Metal_Porcentaje]]&gt;75,"Media","Baja"))</f>
        <v>Alta</v>
      </c>
      <c r="X402" t="str">
        <f>IF(AND(Tb_prod[[#This Row],[Consumo_Energia_MWh]]&lt;=2000,Tb_prod[[#This Row],[Riesgo_Ambiental]]="Alto"),"Crítica","Normal")</f>
        <v>Normal</v>
      </c>
    </row>
    <row r="403" spans="1:24">
      <c r="A403">
        <v>201</v>
      </c>
      <c r="B403" t="str">
        <f>VLOOKUP(Tb_prod[[#This Row],[Región]],AUX_REGION[],2,0)</f>
        <v>Minera del Norte</v>
      </c>
      <c r="C403" t="s">
        <v>25</v>
      </c>
      <c r="D403" t="s">
        <v>18</v>
      </c>
      <c r="E403" t="s">
        <v>14</v>
      </c>
      <c r="F403" t="s">
        <v>26</v>
      </c>
      <c r="G403" t="s">
        <v>20</v>
      </c>
      <c r="H403" s="23">
        <v>3010.32</v>
      </c>
      <c r="I403" s="23">
        <v>2396.0100000000002</v>
      </c>
      <c r="J403" s="23">
        <v>59633.65</v>
      </c>
      <c r="K403" s="23">
        <v>999.35</v>
      </c>
      <c r="L403" s="10">
        <v>33191927370</v>
      </c>
      <c r="M403" s="9">
        <v>93372960690</v>
      </c>
      <c r="N403" s="12">
        <f xml:space="preserve"> Tb_prod[[#This Row],[Costo_Mantenimiento_CLP]] / Tb_prod[[#This Row],[Dias_Operación_Mes]]</f>
        <v>1659596368.5</v>
      </c>
      <c r="O403" s="11">
        <f>Tb_prod[[#This Row],[Costo_Operativo_CLP]] / Tb_prod[[#This Row],[Producción_Toneladas]]</f>
        <v>31017619.618512318</v>
      </c>
      <c r="P403">
        <v>295</v>
      </c>
      <c r="Q403">
        <v>20</v>
      </c>
      <c r="R403" s="6">
        <v>45513</v>
      </c>
      <c r="S403" t="str">
        <f t="shared" si="13"/>
        <v>viernes</v>
      </c>
      <c r="T403" t="str">
        <f t="shared" si="14"/>
        <v>agosto</v>
      </c>
      <c r="U403">
        <v>90.7</v>
      </c>
      <c r="V403">
        <f xml:space="preserve"> Tb_prod[[#This Row],[Emisiones_CO2_ton]] / Tb_prod[[#This Row],[Cantidad_Empleados]]</f>
        <v>3.3876271186440681</v>
      </c>
      <c r="W403" t="str">
        <f>IF(Tb_prod[[#This Row],[Recuperación_Metal_Porcentaje]]&gt;90,"Alta",IF(Tb_prod[[#This Row],[Recuperación_Metal_Porcentaje]]&gt;75,"Media","Baja"))</f>
        <v>Alta</v>
      </c>
      <c r="X403" t="str">
        <f>IF(AND(Tb_prod[[#This Row],[Consumo_Energia_MWh]]&lt;=2000,Tb_prod[[#This Row],[Riesgo_Ambiental]]="Alto"),"Crítica","Normal")</f>
        <v>Normal</v>
      </c>
    </row>
    <row r="404" spans="1:24">
      <c r="A404">
        <v>297</v>
      </c>
      <c r="B404" t="str">
        <f>VLOOKUP(Tb_prod[[#This Row],[Región]],AUX_REGION[],2,0)</f>
        <v>Minera Romero</v>
      </c>
      <c r="C404" t="s">
        <v>17</v>
      </c>
      <c r="D404" t="s">
        <v>23</v>
      </c>
      <c r="E404" t="s">
        <v>19</v>
      </c>
      <c r="F404" t="s">
        <v>15</v>
      </c>
      <c r="G404" t="s">
        <v>22</v>
      </c>
      <c r="H404" s="23">
        <v>7313.38</v>
      </c>
      <c r="I404" s="23">
        <v>1427.56</v>
      </c>
      <c r="J404" s="23">
        <v>59695.48</v>
      </c>
      <c r="K404" s="23">
        <v>1224.73</v>
      </c>
      <c r="L404" s="10">
        <v>34324500060</v>
      </c>
      <c r="M404" s="9">
        <v>112718713320</v>
      </c>
      <c r="N404" s="12">
        <f xml:space="preserve"> Tb_prod[[#This Row],[Costo_Mantenimiento_CLP]] / Tb_prod[[#This Row],[Dias_Operación_Mes]]</f>
        <v>1430187502.5</v>
      </c>
      <c r="O404" s="11">
        <f>Tb_prod[[#This Row],[Costo_Operativo_CLP]] / Tb_prod[[#This Row],[Producción_Toneladas]]</f>
        <v>15412670.108759562</v>
      </c>
      <c r="P404">
        <v>104</v>
      </c>
      <c r="Q404">
        <v>24</v>
      </c>
      <c r="R404" s="6">
        <v>45574</v>
      </c>
      <c r="S404" t="str">
        <f t="shared" si="13"/>
        <v>miércoles</v>
      </c>
      <c r="T404" t="str">
        <f t="shared" si="14"/>
        <v>octubre</v>
      </c>
      <c r="U404">
        <v>89.26</v>
      </c>
      <c r="V404">
        <f xml:space="preserve"> Tb_prod[[#This Row],[Emisiones_CO2_ton]] / Tb_prod[[#This Row],[Cantidad_Empleados]]</f>
        <v>11.776250000000001</v>
      </c>
      <c r="W404" t="str">
        <f>IF(Tb_prod[[#This Row],[Recuperación_Metal_Porcentaje]]&gt;90,"Alta",IF(Tb_prod[[#This Row],[Recuperación_Metal_Porcentaje]]&gt;75,"Media","Baja"))</f>
        <v>Media</v>
      </c>
      <c r="X404" t="str">
        <f>IF(AND(Tb_prod[[#This Row],[Consumo_Energia_MWh]]&lt;=2000,Tb_prod[[#This Row],[Riesgo_Ambiental]]="Alto"),"Crítica","Normal")</f>
        <v>Normal</v>
      </c>
    </row>
    <row r="405" spans="1:24">
      <c r="A405">
        <v>497</v>
      </c>
      <c r="B405" t="str">
        <f>VLOOKUP(Tb_prod[[#This Row],[Región]],AUX_REGION[],2,0)</f>
        <v>Minera del Norte</v>
      </c>
      <c r="C405" t="s">
        <v>21</v>
      </c>
      <c r="D405" t="s">
        <v>18</v>
      </c>
      <c r="E405" t="s">
        <v>19</v>
      </c>
      <c r="F405" t="s">
        <v>26</v>
      </c>
      <c r="G405" t="s">
        <v>22</v>
      </c>
      <c r="H405" s="23">
        <v>4981.58</v>
      </c>
      <c r="I405" s="23">
        <v>1954.51</v>
      </c>
      <c r="J405" s="23">
        <v>59825.65</v>
      </c>
      <c r="K405" s="23">
        <v>1363.85</v>
      </c>
      <c r="L405" s="10">
        <v>42074691660</v>
      </c>
      <c r="M405" s="9">
        <v>18468157050</v>
      </c>
      <c r="N405" s="12">
        <f xml:space="preserve"> Tb_prod[[#This Row],[Costo_Mantenimiento_CLP]] / Tb_prod[[#This Row],[Dias_Operación_Mes]]</f>
        <v>2103734583</v>
      </c>
      <c r="O405" s="11">
        <f>Tb_prod[[#This Row],[Costo_Operativo_CLP]] / Tb_prod[[#This Row],[Producción_Toneladas]]</f>
        <v>3707289.0629077521</v>
      </c>
      <c r="P405">
        <v>133</v>
      </c>
      <c r="Q405">
        <v>20</v>
      </c>
      <c r="R405" s="6">
        <v>45625</v>
      </c>
      <c r="S405" t="str">
        <f t="shared" si="13"/>
        <v>viernes</v>
      </c>
      <c r="T405" t="str">
        <f t="shared" si="14"/>
        <v>noviembre</v>
      </c>
      <c r="U405">
        <v>72.47</v>
      </c>
      <c r="V405">
        <f xml:space="preserve"> Tb_prod[[#This Row],[Emisiones_CO2_ton]] / Tb_prod[[#This Row],[Cantidad_Empleados]]</f>
        <v>10.254511278195489</v>
      </c>
      <c r="W405" t="str">
        <f>IF(Tb_prod[[#This Row],[Recuperación_Metal_Porcentaje]]&gt;90,"Alta",IF(Tb_prod[[#This Row],[Recuperación_Metal_Porcentaje]]&gt;75,"Media","Baja"))</f>
        <v>Baja</v>
      </c>
      <c r="X405" t="str">
        <f>IF(AND(Tb_prod[[#This Row],[Consumo_Energia_MWh]]&lt;=2000,Tb_prod[[#This Row],[Riesgo_Ambiental]]="Alto"),"Crítica","Normal")</f>
        <v>Normal</v>
      </c>
    </row>
    <row r="406" spans="1:24">
      <c r="A406">
        <v>381</v>
      </c>
      <c r="B406" t="str">
        <f>VLOOKUP(Tb_prod[[#This Row],[Región]],AUX_REGION[],2,0)</f>
        <v>Minera del Norte</v>
      </c>
      <c r="C406" t="s">
        <v>25</v>
      </c>
      <c r="D406" t="s">
        <v>18</v>
      </c>
      <c r="E406" t="s">
        <v>14</v>
      </c>
      <c r="F406" t="s">
        <v>26</v>
      </c>
      <c r="G406" t="s">
        <v>22</v>
      </c>
      <c r="H406" s="23">
        <v>7007.17</v>
      </c>
      <c r="I406" s="23">
        <v>1314.94</v>
      </c>
      <c r="J406" s="23">
        <v>59950.57</v>
      </c>
      <c r="K406" s="23">
        <v>1623.21</v>
      </c>
      <c r="L406" s="10">
        <v>28770155010</v>
      </c>
      <c r="M406" s="9">
        <v>1373319041940</v>
      </c>
      <c r="N406" s="12">
        <f xml:space="preserve"> Tb_prod[[#This Row],[Costo_Mantenimiento_CLP]] / Tb_prod[[#This Row],[Dias_Operación_Mes]]</f>
        <v>1106544423.4615386</v>
      </c>
      <c r="O406" s="11">
        <f>Tb_prod[[#This Row],[Costo_Operativo_CLP]] / Tb_prod[[#This Row],[Producción_Toneladas]]</f>
        <v>195987687.17470819</v>
      </c>
      <c r="P406">
        <v>132</v>
      </c>
      <c r="Q406">
        <v>26</v>
      </c>
      <c r="R406" s="6">
        <v>45244</v>
      </c>
      <c r="S406" t="str">
        <f t="shared" si="13"/>
        <v>martes</v>
      </c>
      <c r="T406" t="str">
        <f t="shared" si="14"/>
        <v>noviembre</v>
      </c>
      <c r="U406">
        <v>80.709999999999994</v>
      </c>
      <c r="V406">
        <f xml:space="preserve"> Tb_prod[[#This Row],[Emisiones_CO2_ton]] / Tb_prod[[#This Row],[Cantidad_Empleados]]</f>
        <v>12.297045454545454</v>
      </c>
      <c r="W406" t="str">
        <f>IF(Tb_prod[[#This Row],[Recuperación_Metal_Porcentaje]]&gt;90,"Alta",IF(Tb_prod[[#This Row],[Recuperación_Metal_Porcentaje]]&gt;75,"Media","Baja"))</f>
        <v>Media</v>
      </c>
      <c r="X406" t="str">
        <f>IF(AND(Tb_prod[[#This Row],[Consumo_Energia_MWh]]&lt;=2000,Tb_prod[[#This Row],[Riesgo_Ambiental]]="Alto"),"Crítica","Normal")</f>
        <v>Normal</v>
      </c>
    </row>
    <row r="407" spans="1:24">
      <c r="A407">
        <v>166</v>
      </c>
      <c r="B407" t="str">
        <f>VLOOKUP(Tb_prod[[#This Row],[Región]],AUX_REGION[],2,0)</f>
        <v>Minera Romero</v>
      </c>
      <c r="C407" t="s">
        <v>25</v>
      </c>
      <c r="D407" t="s">
        <v>23</v>
      </c>
      <c r="E407" t="s">
        <v>14</v>
      </c>
      <c r="F407" t="s">
        <v>24</v>
      </c>
      <c r="G407" t="s">
        <v>16</v>
      </c>
      <c r="H407" s="23">
        <v>6096.82</v>
      </c>
      <c r="I407" s="23">
        <v>2497.6799999999998</v>
      </c>
      <c r="J407" s="23">
        <v>59951.41</v>
      </c>
      <c r="K407" s="23">
        <v>1351.43</v>
      </c>
      <c r="L407" s="10">
        <v>13930213770</v>
      </c>
      <c r="M407" s="9">
        <v>157264495200</v>
      </c>
      <c r="N407" s="12">
        <f xml:space="preserve"> Tb_prod[[#This Row],[Costo_Mantenimiento_CLP]] / Tb_prod[[#This Row],[Dias_Operación_Mes]]</f>
        <v>480352198.96551722</v>
      </c>
      <c r="O407" s="11">
        <f>Tb_prod[[#This Row],[Costo_Operativo_CLP]] / Tb_prod[[#This Row],[Producción_Toneladas]]</f>
        <v>25794511.761869304</v>
      </c>
      <c r="P407">
        <v>273</v>
      </c>
      <c r="Q407">
        <v>29</v>
      </c>
      <c r="R407" s="6">
        <v>45113</v>
      </c>
      <c r="S407" t="str">
        <f t="shared" si="13"/>
        <v>jueves</v>
      </c>
      <c r="T407" t="str">
        <f t="shared" si="14"/>
        <v>julio</v>
      </c>
      <c r="U407">
        <v>88.09</v>
      </c>
      <c r="V407">
        <f xml:space="preserve"> Tb_prod[[#This Row],[Emisiones_CO2_ton]] / Tb_prod[[#This Row],[Cantidad_Empleados]]</f>
        <v>4.9502930402930403</v>
      </c>
      <c r="W407" t="str">
        <f>IF(Tb_prod[[#This Row],[Recuperación_Metal_Porcentaje]]&gt;90,"Alta",IF(Tb_prod[[#This Row],[Recuperación_Metal_Porcentaje]]&gt;75,"Media","Baja"))</f>
        <v>Media</v>
      </c>
      <c r="X407" t="str">
        <f>IF(AND(Tb_prod[[#This Row],[Consumo_Energia_MWh]]&lt;=2000,Tb_prod[[#This Row],[Riesgo_Ambiental]]="Alto"),"Crítica","Normal")</f>
        <v>Normal</v>
      </c>
    </row>
    <row r="408" spans="1:24">
      <c r="A408">
        <v>449</v>
      </c>
      <c r="B408" t="str">
        <f>VLOOKUP(Tb_prod[[#This Row],[Región]],AUX_REGION[],2,0)</f>
        <v>Minera Staff</v>
      </c>
      <c r="C408" t="s">
        <v>27</v>
      </c>
      <c r="D408" t="s">
        <v>13</v>
      </c>
      <c r="E408" t="s">
        <v>14</v>
      </c>
      <c r="F408" t="s">
        <v>24</v>
      </c>
      <c r="G408" t="s">
        <v>16</v>
      </c>
      <c r="H408" s="23">
        <v>5653.33</v>
      </c>
      <c r="I408" s="23">
        <v>2515.5500000000002</v>
      </c>
      <c r="J408" s="23">
        <v>60013.91</v>
      </c>
      <c r="K408" s="23">
        <v>1070.1199999999999</v>
      </c>
      <c r="L408" s="10">
        <v>32317841520</v>
      </c>
      <c r="M408" s="9">
        <v>99837716580</v>
      </c>
      <c r="N408" s="12">
        <f xml:space="preserve"> Tb_prod[[#This Row],[Costo_Mantenimiento_CLP]] / Tb_prod[[#This Row],[Dias_Operación_Mes]]</f>
        <v>1615892076</v>
      </c>
      <c r="O408" s="11">
        <f>Tb_prod[[#This Row],[Costo_Operativo_CLP]] / Tb_prod[[#This Row],[Producción_Toneladas]]</f>
        <v>17659983.864377279</v>
      </c>
      <c r="P408">
        <v>299</v>
      </c>
      <c r="Q408">
        <v>20</v>
      </c>
      <c r="R408" s="6">
        <v>45418</v>
      </c>
      <c r="S408" t="str">
        <f t="shared" si="13"/>
        <v>lunes</v>
      </c>
      <c r="T408" t="str">
        <f t="shared" si="14"/>
        <v>mayo</v>
      </c>
      <c r="U408">
        <v>76.25</v>
      </c>
      <c r="V408">
        <f xml:space="preserve"> Tb_prod[[#This Row],[Emisiones_CO2_ton]] / Tb_prod[[#This Row],[Cantidad_Empleados]]</f>
        <v>3.5789966555183943</v>
      </c>
      <c r="W408" t="str">
        <f>IF(Tb_prod[[#This Row],[Recuperación_Metal_Porcentaje]]&gt;90,"Alta",IF(Tb_prod[[#This Row],[Recuperación_Metal_Porcentaje]]&gt;75,"Media","Baja"))</f>
        <v>Media</v>
      </c>
      <c r="X408" t="str">
        <f>IF(AND(Tb_prod[[#This Row],[Consumo_Energia_MWh]]&lt;=2000,Tb_prod[[#This Row],[Riesgo_Ambiental]]="Alto"),"Crítica","Normal")</f>
        <v>Normal</v>
      </c>
    </row>
    <row r="409" spans="1:24">
      <c r="A409">
        <v>339</v>
      </c>
      <c r="B409" t="str">
        <f>VLOOKUP(Tb_prod[[#This Row],[Región]],AUX_REGION[],2,0)</f>
        <v>Minera del Norte</v>
      </c>
      <c r="C409" t="s">
        <v>17</v>
      </c>
      <c r="D409" t="s">
        <v>18</v>
      </c>
      <c r="E409" t="s">
        <v>19</v>
      </c>
      <c r="F409" t="s">
        <v>15</v>
      </c>
      <c r="G409" t="s">
        <v>20</v>
      </c>
      <c r="H409" s="23">
        <v>5101.63</v>
      </c>
      <c r="I409" s="23">
        <v>2242.5500000000002</v>
      </c>
      <c r="J409" s="23">
        <v>60025.09</v>
      </c>
      <c r="K409" s="23">
        <v>1463.83</v>
      </c>
      <c r="L409" s="10">
        <v>30957370290</v>
      </c>
      <c r="M409" s="9">
        <v>116758215990</v>
      </c>
      <c r="N409" s="12">
        <f xml:space="preserve"> Tb_prod[[#This Row],[Costo_Mantenimiento_CLP]] / Tb_prod[[#This Row],[Dias_Operación_Mes]]</f>
        <v>1345972621.3043478</v>
      </c>
      <c r="O409" s="11">
        <f>Tb_prod[[#This Row],[Costo_Operativo_CLP]] / Tb_prod[[#This Row],[Producción_Toneladas]]</f>
        <v>22886453.15124774</v>
      </c>
      <c r="P409">
        <v>114</v>
      </c>
      <c r="Q409">
        <v>23</v>
      </c>
      <c r="R409" s="6">
        <v>45173</v>
      </c>
      <c r="S409" t="str">
        <f t="shared" si="13"/>
        <v>lunes</v>
      </c>
      <c r="T409" t="str">
        <f t="shared" si="14"/>
        <v>septiembre</v>
      </c>
      <c r="U409">
        <v>75.819999999999993</v>
      </c>
      <c r="V409">
        <f xml:space="preserve"> Tb_prod[[#This Row],[Emisiones_CO2_ton]] / Tb_prod[[#This Row],[Cantidad_Empleados]]</f>
        <v>12.840614035087718</v>
      </c>
      <c r="W409" t="str">
        <f>IF(Tb_prod[[#This Row],[Recuperación_Metal_Porcentaje]]&gt;90,"Alta",IF(Tb_prod[[#This Row],[Recuperación_Metal_Porcentaje]]&gt;75,"Media","Baja"))</f>
        <v>Media</v>
      </c>
      <c r="X409" t="str">
        <f>IF(AND(Tb_prod[[#This Row],[Consumo_Energia_MWh]]&lt;=2000,Tb_prod[[#This Row],[Riesgo_Ambiental]]="Alto"),"Crítica","Normal")</f>
        <v>Normal</v>
      </c>
    </row>
    <row r="410" spans="1:24">
      <c r="A410">
        <v>430</v>
      </c>
      <c r="B410" t="str">
        <f>VLOOKUP(Tb_prod[[#This Row],[Región]],AUX_REGION[],2,0)</f>
        <v>Minera Staff</v>
      </c>
      <c r="C410" t="s">
        <v>12</v>
      </c>
      <c r="D410" t="s">
        <v>13</v>
      </c>
      <c r="E410" t="s">
        <v>19</v>
      </c>
      <c r="F410" t="s">
        <v>26</v>
      </c>
      <c r="G410" t="s">
        <v>22</v>
      </c>
      <c r="H410" s="23">
        <v>4006.83</v>
      </c>
      <c r="I410" s="23">
        <v>2371.1999999999998</v>
      </c>
      <c r="J410" s="23">
        <v>60119.96</v>
      </c>
      <c r="K410" s="23">
        <v>979.63</v>
      </c>
      <c r="L410" s="10">
        <v>43296978690</v>
      </c>
      <c r="M410" s="9">
        <v>168667529130</v>
      </c>
      <c r="N410" s="12">
        <f xml:space="preserve"> Tb_prod[[#This Row],[Costo_Mantenimiento_CLP]] / Tb_prod[[#This Row],[Dias_Operación_Mes]]</f>
        <v>1882477334.347826</v>
      </c>
      <c r="O410" s="11">
        <f>Tb_prod[[#This Row],[Costo_Operativo_CLP]] / Tb_prod[[#This Row],[Producción_Toneladas]]</f>
        <v>42095005.061357729</v>
      </c>
      <c r="P410">
        <v>257</v>
      </c>
      <c r="Q410">
        <v>23</v>
      </c>
      <c r="R410" s="6">
        <v>46019</v>
      </c>
      <c r="S410" t="str">
        <f t="shared" si="13"/>
        <v>domingo</v>
      </c>
      <c r="T410" t="str">
        <f t="shared" si="14"/>
        <v>diciembre</v>
      </c>
      <c r="U410">
        <v>81.790000000000006</v>
      </c>
      <c r="V410">
        <f xml:space="preserve"> Tb_prod[[#This Row],[Emisiones_CO2_ton]] / Tb_prod[[#This Row],[Cantidad_Empleados]]</f>
        <v>3.8117898832684824</v>
      </c>
      <c r="W410" t="str">
        <f>IF(Tb_prod[[#This Row],[Recuperación_Metal_Porcentaje]]&gt;90,"Alta",IF(Tb_prod[[#This Row],[Recuperación_Metal_Porcentaje]]&gt;75,"Media","Baja"))</f>
        <v>Media</v>
      </c>
      <c r="X410" t="str">
        <f>IF(AND(Tb_prod[[#This Row],[Consumo_Energia_MWh]]&lt;=2000,Tb_prod[[#This Row],[Riesgo_Ambiental]]="Alto"),"Crítica","Normal")</f>
        <v>Normal</v>
      </c>
    </row>
    <row r="411" spans="1:24">
      <c r="A411">
        <v>312</v>
      </c>
      <c r="B411" t="str">
        <f>VLOOKUP(Tb_prod[[#This Row],[Región]],AUX_REGION[],2,0)</f>
        <v>Minera del Norte</v>
      </c>
      <c r="C411" t="s">
        <v>21</v>
      </c>
      <c r="D411" t="s">
        <v>18</v>
      </c>
      <c r="E411" t="s">
        <v>14</v>
      </c>
      <c r="F411" t="s">
        <v>15</v>
      </c>
      <c r="G411" t="s">
        <v>16</v>
      </c>
      <c r="H411" s="23">
        <v>6493.32</v>
      </c>
      <c r="I411" s="23">
        <v>1857.8</v>
      </c>
      <c r="J411" s="23">
        <v>60190.43</v>
      </c>
      <c r="K411" s="23">
        <v>970.19</v>
      </c>
      <c r="L411" s="10">
        <v>10258634340</v>
      </c>
      <c r="M411" s="9">
        <v>993770069460</v>
      </c>
      <c r="N411" s="12">
        <f xml:space="preserve"> Tb_prod[[#This Row],[Costo_Mantenimiento_CLP]] / Tb_prod[[#This Row],[Dias_Operación_Mes]]</f>
        <v>446027580</v>
      </c>
      <c r="O411" s="11">
        <f>Tb_prod[[#This Row],[Costo_Operativo_CLP]] / Tb_prod[[#This Row],[Producción_Toneladas]]</f>
        <v>153044986.14884222</v>
      </c>
      <c r="P411">
        <v>207</v>
      </c>
      <c r="Q411">
        <v>23</v>
      </c>
      <c r="R411" s="6">
        <v>44973</v>
      </c>
      <c r="S411" t="str">
        <f t="shared" si="13"/>
        <v>jueves</v>
      </c>
      <c r="T411" t="str">
        <f t="shared" si="14"/>
        <v>febrero</v>
      </c>
      <c r="U411">
        <v>78.17</v>
      </c>
      <c r="V411">
        <f xml:space="preserve"> Tb_prod[[#This Row],[Emisiones_CO2_ton]] / Tb_prod[[#This Row],[Cantidad_Empleados]]</f>
        <v>4.6869082125603869</v>
      </c>
      <c r="W411" t="str">
        <f>IF(Tb_prod[[#This Row],[Recuperación_Metal_Porcentaje]]&gt;90,"Alta",IF(Tb_prod[[#This Row],[Recuperación_Metal_Porcentaje]]&gt;75,"Media","Baja"))</f>
        <v>Media</v>
      </c>
      <c r="X411" t="str">
        <f>IF(AND(Tb_prod[[#This Row],[Consumo_Energia_MWh]]&lt;=2000,Tb_prod[[#This Row],[Riesgo_Ambiental]]="Alto"),"Crítica","Normal")</f>
        <v>Normal</v>
      </c>
    </row>
    <row r="412" spans="1:24">
      <c r="A412">
        <v>310</v>
      </c>
      <c r="B412" t="str">
        <f>VLOOKUP(Tb_prod[[#This Row],[Región]],AUX_REGION[],2,0)</f>
        <v>Minera del Norte</v>
      </c>
      <c r="C412" t="s">
        <v>17</v>
      </c>
      <c r="D412" t="s">
        <v>18</v>
      </c>
      <c r="E412" t="s">
        <v>14</v>
      </c>
      <c r="F412" t="s">
        <v>24</v>
      </c>
      <c r="G412" t="s">
        <v>16</v>
      </c>
      <c r="H412" s="23">
        <v>3859.78</v>
      </c>
      <c r="I412" s="23">
        <v>1563.11</v>
      </c>
      <c r="J412" s="23">
        <v>60434.61</v>
      </c>
      <c r="K412" s="23">
        <v>1246.23</v>
      </c>
      <c r="L412" s="10">
        <v>13363831260</v>
      </c>
      <c r="M412" s="9">
        <v>107398979280</v>
      </c>
      <c r="N412" s="12">
        <f xml:space="preserve"> Tb_prod[[#This Row],[Costo_Mantenimiento_CLP]] / Tb_prod[[#This Row],[Dias_Operación_Mes]]</f>
        <v>445461042</v>
      </c>
      <c r="O412" s="11">
        <f>Tb_prod[[#This Row],[Costo_Operativo_CLP]] / Tb_prod[[#This Row],[Producción_Toneladas]]</f>
        <v>27825155.651358366</v>
      </c>
      <c r="P412">
        <v>177</v>
      </c>
      <c r="Q412">
        <v>30</v>
      </c>
      <c r="R412" s="6">
        <v>45918</v>
      </c>
      <c r="S412" t="str">
        <f t="shared" ref="S412:S443" si="15">TEXT(R412,"dddd")</f>
        <v>jueves</v>
      </c>
      <c r="T412" t="str">
        <f t="shared" si="14"/>
        <v>septiembre</v>
      </c>
      <c r="U412">
        <v>82.44</v>
      </c>
      <c r="V412">
        <f xml:space="preserve"> Tb_prod[[#This Row],[Emisiones_CO2_ton]] / Tb_prod[[#This Row],[Cantidad_Empleados]]</f>
        <v>7.0408474576271187</v>
      </c>
      <c r="W412" t="str">
        <f>IF(Tb_prod[[#This Row],[Recuperación_Metal_Porcentaje]]&gt;90,"Alta",IF(Tb_prod[[#This Row],[Recuperación_Metal_Porcentaje]]&gt;75,"Media","Baja"))</f>
        <v>Media</v>
      </c>
      <c r="X412" t="str">
        <f>IF(AND(Tb_prod[[#This Row],[Consumo_Energia_MWh]]&lt;=2000,Tb_prod[[#This Row],[Riesgo_Ambiental]]="Alto"),"Crítica","Normal")</f>
        <v>Normal</v>
      </c>
    </row>
    <row r="413" spans="1:24">
      <c r="A413">
        <v>203</v>
      </c>
      <c r="B413" t="str">
        <f>VLOOKUP(Tb_prod[[#This Row],[Región]],AUX_REGION[],2,0)</f>
        <v>Minera del Norte</v>
      </c>
      <c r="C413" t="s">
        <v>27</v>
      </c>
      <c r="D413" t="s">
        <v>18</v>
      </c>
      <c r="E413" t="s">
        <v>19</v>
      </c>
      <c r="F413" t="s">
        <v>15</v>
      </c>
      <c r="G413" t="s">
        <v>20</v>
      </c>
      <c r="H413" s="23">
        <v>2819.86</v>
      </c>
      <c r="I413" s="23">
        <v>2097.6</v>
      </c>
      <c r="J413" s="23">
        <v>60566.09</v>
      </c>
      <c r="K413" s="23">
        <v>653.91</v>
      </c>
      <c r="L413" s="10">
        <v>140132949633256</v>
      </c>
      <c r="M413" s="9">
        <v>35401338810</v>
      </c>
      <c r="N413" s="12">
        <f xml:space="preserve"> Tb_prod[[#This Row],[Costo_Mantenimiento_CLP]] / Tb_prod[[#This Row],[Dias_Operación_Mes]]</f>
        <v>6369679528784.3633</v>
      </c>
      <c r="O413" s="11">
        <f>Tb_prod[[#This Row],[Costo_Operativo_CLP]] / Tb_prod[[#This Row],[Producción_Toneladas]]</f>
        <v>12554289.507280502</v>
      </c>
      <c r="P413">
        <v>257</v>
      </c>
      <c r="Q413">
        <v>22</v>
      </c>
      <c r="R413" s="6">
        <v>45935</v>
      </c>
      <c r="S413" t="str">
        <f t="shared" si="15"/>
        <v>domingo</v>
      </c>
      <c r="T413" t="str">
        <f t="shared" si="14"/>
        <v>octubre</v>
      </c>
      <c r="U413">
        <v>89.35</v>
      </c>
      <c r="V413">
        <f xml:space="preserve"> Tb_prod[[#This Row],[Emisiones_CO2_ton]] / Tb_prod[[#This Row],[Cantidad_Empleados]]</f>
        <v>2.5443968871595328</v>
      </c>
      <c r="W413" t="str">
        <f>IF(Tb_prod[[#This Row],[Recuperación_Metal_Porcentaje]]&gt;90,"Alta",IF(Tb_prod[[#This Row],[Recuperación_Metal_Porcentaje]]&gt;75,"Media","Baja"))</f>
        <v>Media</v>
      </c>
      <c r="X413" t="str">
        <f>IF(AND(Tb_prod[[#This Row],[Consumo_Energia_MWh]]&lt;=2000,Tb_prod[[#This Row],[Riesgo_Ambiental]]="Alto"),"Crítica","Normal")</f>
        <v>Normal</v>
      </c>
    </row>
    <row r="414" spans="1:24">
      <c r="A414">
        <v>435</v>
      </c>
      <c r="B414" t="str">
        <f>VLOOKUP(Tb_prod[[#This Row],[Región]],AUX_REGION[],2,0)</f>
        <v>Minera Staff</v>
      </c>
      <c r="C414" t="s">
        <v>12</v>
      </c>
      <c r="D414" t="s">
        <v>13</v>
      </c>
      <c r="E414" t="s">
        <v>14</v>
      </c>
      <c r="F414" t="s">
        <v>15</v>
      </c>
      <c r="G414" t="s">
        <v>22</v>
      </c>
      <c r="H414" s="23">
        <v>3497.35</v>
      </c>
      <c r="I414" s="23">
        <v>2281.7399999999998</v>
      </c>
      <c r="J414" s="23">
        <v>60579.02</v>
      </c>
      <c r="K414" s="23">
        <v>1071.8800000000001</v>
      </c>
      <c r="L414" s="10">
        <v>27265107690</v>
      </c>
      <c r="M414" s="9">
        <v>122034698100</v>
      </c>
      <c r="N414" s="12">
        <f xml:space="preserve"> Tb_prod[[#This Row],[Costo_Mantenimiento_CLP]] / Tb_prod[[#This Row],[Dias_Operación_Mes]]</f>
        <v>1298338461.4285715</v>
      </c>
      <c r="O414" s="11">
        <f>Tb_prod[[#This Row],[Costo_Operativo_CLP]] / Tb_prod[[#This Row],[Producción_Toneladas]]</f>
        <v>34893475.946073458</v>
      </c>
      <c r="P414">
        <v>204</v>
      </c>
      <c r="Q414">
        <v>21</v>
      </c>
      <c r="R414" s="6">
        <v>45495</v>
      </c>
      <c r="S414" t="str">
        <f t="shared" si="15"/>
        <v>lunes</v>
      </c>
      <c r="T414" t="str">
        <f t="shared" si="14"/>
        <v>julio</v>
      </c>
      <c r="U414">
        <v>97.72</v>
      </c>
      <c r="V414">
        <f xml:space="preserve"> Tb_prod[[#This Row],[Emisiones_CO2_ton]] / Tb_prod[[#This Row],[Cantidad_Empleados]]</f>
        <v>5.2543137254901966</v>
      </c>
      <c r="W414" t="str">
        <f>IF(Tb_prod[[#This Row],[Recuperación_Metal_Porcentaje]]&gt;90,"Alta",IF(Tb_prod[[#This Row],[Recuperación_Metal_Porcentaje]]&gt;75,"Media","Baja"))</f>
        <v>Alta</v>
      </c>
      <c r="X414" t="str">
        <f>IF(AND(Tb_prod[[#This Row],[Consumo_Energia_MWh]]&lt;=2000,Tb_prod[[#This Row],[Riesgo_Ambiental]]="Alto"),"Crítica","Normal")</f>
        <v>Normal</v>
      </c>
    </row>
    <row r="415" spans="1:24">
      <c r="A415">
        <v>25</v>
      </c>
      <c r="B415" t="str">
        <f>VLOOKUP(Tb_prod[[#This Row],[Región]],AUX_REGION[],2,0)</f>
        <v>Minera Romero</v>
      </c>
      <c r="C415" t="s">
        <v>27</v>
      </c>
      <c r="D415" t="s">
        <v>23</v>
      </c>
      <c r="E415" t="s">
        <v>14</v>
      </c>
      <c r="F415" t="s">
        <v>15</v>
      </c>
      <c r="G415" t="s">
        <v>16</v>
      </c>
      <c r="H415" s="23">
        <v>5400.58</v>
      </c>
      <c r="I415" s="23">
        <v>1267.81</v>
      </c>
      <c r="J415" s="23">
        <v>60917.72</v>
      </c>
      <c r="K415" s="23">
        <v>1076.1600000000001</v>
      </c>
      <c r="L415" s="10">
        <v>39460891590</v>
      </c>
      <c r="M415" s="9">
        <v>171652352310</v>
      </c>
      <c r="N415" s="12">
        <f xml:space="preserve"> Tb_prod[[#This Row],[Costo_Mantenimiento_CLP]] / Tb_prod[[#This Row],[Dias_Operación_Mes]]</f>
        <v>1517726599.6153846</v>
      </c>
      <c r="O415" s="11">
        <f>Tb_prod[[#This Row],[Costo_Operativo_CLP]] / Tb_prod[[#This Row],[Producción_Toneladas]]</f>
        <v>31784058.806646693</v>
      </c>
      <c r="P415">
        <v>287</v>
      </c>
      <c r="Q415">
        <v>26</v>
      </c>
      <c r="R415" s="6">
        <v>45116</v>
      </c>
      <c r="S415" t="str">
        <f t="shared" si="15"/>
        <v>domingo</v>
      </c>
      <c r="T415" t="str">
        <f t="shared" si="14"/>
        <v>julio</v>
      </c>
      <c r="U415">
        <v>91.1</v>
      </c>
      <c r="V415">
        <f xml:space="preserve"> Tb_prod[[#This Row],[Emisiones_CO2_ton]] / Tb_prod[[#This Row],[Cantidad_Empleados]]</f>
        <v>3.7496864111498263</v>
      </c>
      <c r="W415" t="str">
        <f>IF(Tb_prod[[#This Row],[Recuperación_Metal_Porcentaje]]&gt;90,"Alta",IF(Tb_prod[[#This Row],[Recuperación_Metal_Porcentaje]]&gt;75,"Media","Baja"))</f>
        <v>Alta</v>
      </c>
      <c r="X415" t="str">
        <f>IF(AND(Tb_prod[[#This Row],[Consumo_Energia_MWh]]&lt;=2000,Tb_prod[[#This Row],[Riesgo_Ambiental]]="Alto"),"Crítica","Normal")</f>
        <v>Normal</v>
      </c>
    </row>
    <row r="416" spans="1:24">
      <c r="A416">
        <v>290</v>
      </c>
      <c r="B416" t="str">
        <f>VLOOKUP(Tb_prod[[#This Row],[Región]],AUX_REGION[],2,0)</f>
        <v>Minera del Norte</v>
      </c>
      <c r="C416" t="s">
        <v>12</v>
      </c>
      <c r="D416" t="s">
        <v>18</v>
      </c>
      <c r="E416" t="s">
        <v>14</v>
      </c>
      <c r="F416" t="s">
        <v>15</v>
      </c>
      <c r="G416" t="s">
        <v>20</v>
      </c>
      <c r="H416" s="23">
        <v>7166.47</v>
      </c>
      <c r="I416" s="23">
        <v>2199.1799999999998</v>
      </c>
      <c r="J416" s="23">
        <v>60957.1</v>
      </c>
      <c r="K416" s="23">
        <v>1090.43</v>
      </c>
      <c r="L416" s="10">
        <v>39483121950</v>
      </c>
      <c r="M416" s="9">
        <v>661664718540</v>
      </c>
      <c r="N416" s="12">
        <f xml:space="preserve"> Tb_prod[[#This Row],[Costo_Mantenimiento_CLP]] / Tb_prod[[#This Row],[Dias_Operación_Mes]]</f>
        <v>1716657476.0869565</v>
      </c>
      <c r="O416" s="11">
        <f>Tb_prod[[#This Row],[Costo_Operativo_CLP]] / Tb_prod[[#This Row],[Producción_Toneladas]]</f>
        <v>92327843.211511388</v>
      </c>
      <c r="P416">
        <v>131</v>
      </c>
      <c r="Q416">
        <v>23</v>
      </c>
      <c r="R416" s="6">
        <v>45780</v>
      </c>
      <c r="S416" t="str">
        <f t="shared" si="15"/>
        <v>sábado</v>
      </c>
      <c r="T416" t="str">
        <f t="shared" si="14"/>
        <v>mayo</v>
      </c>
      <c r="U416">
        <v>79.53</v>
      </c>
      <c r="V416">
        <f xml:space="preserve"> Tb_prod[[#This Row],[Emisiones_CO2_ton]] / Tb_prod[[#This Row],[Cantidad_Empleados]]</f>
        <v>8.3238931297709922</v>
      </c>
      <c r="W416" t="str">
        <f>IF(Tb_prod[[#This Row],[Recuperación_Metal_Porcentaje]]&gt;90,"Alta",IF(Tb_prod[[#This Row],[Recuperación_Metal_Porcentaje]]&gt;75,"Media","Baja"))</f>
        <v>Media</v>
      </c>
      <c r="X416" t="str">
        <f>IF(AND(Tb_prod[[#This Row],[Consumo_Energia_MWh]]&lt;=2000,Tb_prod[[#This Row],[Riesgo_Ambiental]]="Alto"),"Crítica","Normal")</f>
        <v>Normal</v>
      </c>
    </row>
    <row r="417" spans="1:24">
      <c r="A417">
        <v>432</v>
      </c>
      <c r="B417" t="str">
        <f>VLOOKUP(Tb_prod[[#This Row],[Región]],AUX_REGION[],2,0)</f>
        <v>Minera Romero</v>
      </c>
      <c r="C417" t="s">
        <v>27</v>
      </c>
      <c r="D417" t="s">
        <v>23</v>
      </c>
      <c r="E417" t="s">
        <v>14</v>
      </c>
      <c r="F417" t="s">
        <v>26</v>
      </c>
      <c r="G417" t="s">
        <v>22</v>
      </c>
      <c r="H417" s="23">
        <v>4774.49</v>
      </c>
      <c r="I417" s="23">
        <v>2399.87</v>
      </c>
      <c r="J417" s="23">
        <v>61022.61</v>
      </c>
      <c r="K417" s="23">
        <v>988.94</v>
      </c>
      <c r="L417" s="10">
        <v>37515779730</v>
      </c>
      <c r="M417" s="9">
        <v>42856551720</v>
      </c>
      <c r="N417" s="12">
        <f xml:space="preserve"> Tb_prod[[#This Row],[Costo_Mantenimiento_CLP]] / Tb_prod[[#This Row],[Dias_Operación_Mes]]</f>
        <v>1250525991</v>
      </c>
      <c r="O417" s="11">
        <f>Tb_prod[[#This Row],[Costo_Operativo_CLP]] / Tb_prod[[#This Row],[Producción_Toneladas]]</f>
        <v>8976152.7869992405</v>
      </c>
      <c r="P417">
        <v>181</v>
      </c>
      <c r="Q417">
        <v>30</v>
      </c>
      <c r="R417" s="6">
        <v>45975</v>
      </c>
      <c r="S417" t="str">
        <f t="shared" si="15"/>
        <v>viernes</v>
      </c>
      <c r="T417" t="str">
        <f t="shared" si="14"/>
        <v>noviembre</v>
      </c>
      <c r="U417">
        <v>81</v>
      </c>
      <c r="V417">
        <f xml:space="preserve"> Tb_prod[[#This Row],[Emisiones_CO2_ton]] / Tb_prod[[#This Row],[Cantidad_Empleados]]</f>
        <v>5.4637569060773483</v>
      </c>
      <c r="W417" t="str">
        <f>IF(Tb_prod[[#This Row],[Recuperación_Metal_Porcentaje]]&gt;90,"Alta",IF(Tb_prod[[#This Row],[Recuperación_Metal_Porcentaje]]&gt;75,"Media","Baja"))</f>
        <v>Media</v>
      </c>
      <c r="X417" t="str">
        <f>IF(AND(Tb_prod[[#This Row],[Consumo_Energia_MWh]]&lt;=2000,Tb_prod[[#This Row],[Riesgo_Ambiental]]="Alto"),"Crítica","Normal")</f>
        <v>Normal</v>
      </c>
    </row>
    <row r="418" spans="1:24">
      <c r="A418">
        <v>319</v>
      </c>
      <c r="B418" t="str">
        <f>VLOOKUP(Tb_prod[[#This Row],[Región]],AUX_REGION[],2,0)</f>
        <v>Minera Staff</v>
      </c>
      <c r="C418" t="s">
        <v>25</v>
      </c>
      <c r="D418" t="s">
        <v>13</v>
      </c>
      <c r="E418" t="s">
        <v>14</v>
      </c>
      <c r="F418" t="s">
        <v>15</v>
      </c>
      <c r="G418" t="s">
        <v>22</v>
      </c>
      <c r="H418" s="23">
        <v>3055.25</v>
      </c>
      <c r="I418" s="23">
        <v>2245.0100000000002</v>
      </c>
      <c r="J418" s="23">
        <v>61027.99</v>
      </c>
      <c r="K418" s="23">
        <v>875.5</v>
      </c>
      <c r="L418" s="10">
        <v>7669637910</v>
      </c>
      <c r="M418" s="9">
        <v>163747220940</v>
      </c>
      <c r="N418" s="12">
        <f xml:space="preserve"> Tb_prod[[#This Row],[Costo_Mantenimiento_CLP]] / Tb_prod[[#This Row],[Dias_Operación_Mes]]</f>
        <v>365220852.85714287</v>
      </c>
      <c r="O418" s="11">
        <f>Tb_prod[[#This Row],[Costo_Operativo_CLP]] / Tb_prod[[#This Row],[Producción_Toneladas]]</f>
        <v>53595359.116275266</v>
      </c>
      <c r="P418">
        <v>50</v>
      </c>
      <c r="Q418">
        <v>21</v>
      </c>
      <c r="R418" s="6">
        <v>45562</v>
      </c>
      <c r="S418" t="str">
        <f t="shared" si="15"/>
        <v>viernes</v>
      </c>
      <c r="T418" t="str">
        <f t="shared" si="14"/>
        <v>septiembre</v>
      </c>
      <c r="U418">
        <v>91.31</v>
      </c>
      <c r="V418">
        <f xml:space="preserve"> Tb_prod[[#This Row],[Emisiones_CO2_ton]] / Tb_prod[[#This Row],[Cantidad_Empleados]]</f>
        <v>17.510000000000002</v>
      </c>
      <c r="W418" t="str">
        <f>IF(Tb_prod[[#This Row],[Recuperación_Metal_Porcentaje]]&gt;90,"Alta",IF(Tb_prod[[#This Row],[Recuperación_Metal_Porcentaje]]&gt;75,"Media","Baja"))</f>
        <v>Alta</v>
      </c>
      <c r="X418" t="str">
        <f>IF(AND(Tb_prod[[#This Row],[Consumo_Energia_MWh]]&lt;=2000,Tb_prod[[#This Row],[Riesgo_Ambiental]]="Alto"),"Crítica","Normal")</f>
        <v>Normal</v>
      </c>
    </row>
    <row r="419" spans="1:24">
      <c r="A419">
        <v>382</v>
      </c>
      <c r="B419" t="str">
        <f>VLOOKUP(Tb_prod[[#This Row],[Región]],AUX_REGION[],2,0)</f>
        <v>Minera del Norte</v>
      </c>
      <c r="C419" t="s">
        <v>17</v>
      </c>
      <c r="D419" t="s">
        <v>18</v>
      </c>
      <c r="E419" t="s">
        <v>19</v>
      </c>
      <c r="F419" t="s">
        <v>26</v>
      </c>
      <c r="G419" t="s">
        <v>22</v>
      </c>
      <c r="H419" s="23">
        <v>7379.56</v>
      </c>
      <c r="I419" s="23">
        <v>2321.35</v>
      </c>
      <c r="J419" s="23">
        <v>61073.42</v>
      </c>
      <c r="K419" s="23">
        <v>1426.38</v>
      </c>
      <c r="L419" s="10">
        <v>22099568040</v>
      </c>
      <c r="M419" s="9">
        <v>124451201790</v>
      </c>
      <c r="N419" s="12">
        <f xml:space="preserve"> Tb_prod[[#This Row],[Costo_Mantenimiento_CLP]] / Tb_prod[[#This Row],[Dias_Operación_Mes]]</f>
        <v>920815335</v>
      </c>
      <c r="O419" s="11">
        <f>Tb_prod[[#This Row],[Costo_Operativo_CLP]] / Tb_prod[[#This Row],[Producción_Toneladas]]</f>
        <v>16864311.935941979</v>
      </c>
      <c r="P419">
        <v>152</v>
      </c>
      <c r="Q419">
        <v>24</v>
      </c>
      <c r="R419" s="6">
        <v>45180</v>
      </c>
      <c r="S419" t="str">
        <f t="shared" si="15"/>
        <v>lunes</v>
      </c>
      <c r="T419" t="str">
        <f t="shared" si="14"/>
        <v>septiembre</v>
      </c>
      <c r="U419">
        <v>74.63</v>
      </c>
      <c r="V419">
        <f xml:space="preserve"> Tb_prod[[#This Row],[Emisiones_CO2_ton]] / Tb_prod[[#This Row],[Cantidad_Empleados]]</f>
        <v>9.3840789473684225</v>
      </c>
      <c r="W419" t="str">
        <f>IF(Tb_prod[[#This Row],[Recuperación_Metal_Porcentaje]]&gt;90,"Alta",IF(Tb_prod[[#This Row],[Recuperación_Metal_Porcentaje]]&gt;75,"Media","Baja"))</f>
        <v>Baja</v>
      </c>
      <c r="X419" t="str">
        <f>IF(AND(Tb_prod[[#This Row],[Consumo_Energia_MWh]]&lt;=2000,Tb_prod[[#This Row],[Riesgo_Ambiental]]="Alto"),"Crítica","Normal")</f>
        <v>Normal</v>
      </c>
    </row>
    <row r="420" spans="1:24">
      <c r="A420">
        <v>240</v>
      </c>
      <c r="B420" t="str">
        <f>VLOOKUP(Tb_prod[[#This Row],[Región]],AUX_REGION[],2,0)</f>
        <v>Minera Romero</v>
      </c>
      <c r="C420" t="s">
        <v>17</v>
      </c>
      <c r="D420" t="s">
        <v>23</v>
      </c>
      <c r="E420" t="s">
        <v>14</v>
      </c>
      <c r="F420" t="s">
        <v>24</v>
      </c>
      <c r="G420" t="s">
        <v>16</v>
      </c>
      <c r="H420" s="23">
        <v>5696.2</v>
      </c>
      <c r="I420" s="23">
        <v>1752.9</v>
      </c>
      <c r="J420" s="23">
        <v>61208.41</v>
      </c>
      <c r="K420" s="23">
        <v>672.39</v>
      </c>
      <c r="L420" s="10">
        <v>39538015020</v>
      </c>
      <c r="M420" s="9">
        <v>282115746060</v>
      </c>
      <c r="N420" s="12">
        <f xml:space="preserve"> Tb_prod[[#This Row],[Costo_Mantenimiento_CLP]] / Tb_prod[[#This Row],[Dias_Operación_Mes]]</f>
        <v>1520692885.3846154</v>
      </c>
      <c r="O420" s="11">
        <f>Tb_prod[[#This Row],[Costo_Operativo_CLP]] / Tb_prod[[#This Row],[Producción_Toneladas]]</f>
        <v>49527008.54253713</v>
      </c>
      <c r="P420">
        <v>176</v>
      </c>
      <c r="Q420">
        <v>26</v>
      </c>
      <c r="R420" s="6">
        <v>45999</v>
      </c>
      <c r="S420" t="str">
        <f t="shared" si="15"/>
        <v>lunes</v>
      </c>
      <c r="T420" t="str">
        <f t="shared" si="14"/>
        <v>diciembre</v>
      </c>
      <c r="U420">
        <v>96.18</v>
      </c>
      <c r="V420">
        <f xml:space="preserve"> Tb_prod[[#This Row],[Emisiones_CO2_ton]] / Tb_prod[[#This Row],[Cantidad_Empleados]]</f>
        <v>3.8203977272727272</v>
      </c>
      <c r="W420" t="str">
        <f>IF(Tb_prod[[#This Row],[Recuperación_Metal_Porcentaje]]&gt;90,"Alta",IF(Tb_prod[[#This Row],[Recuperación_Metal_Porcentaje]]&gt;75,"Media","Baja"))</f>
        <v>Alta</v>
      </c>
      <c r="X420" t="str">
        <f>IF(AND(Tb_prod[[#This Row],[Consumo_Energia_MWh]]&lt;=2000,Tb_prod[[#This Row],[Riesgo_Ambiental]]="Alto"),"Crítica","Normal")</f>
        <v>Normal</v>
      </c>
    </row>
    <row r="421" spans="1:24">
      <c r="A421">
        <v>242</v>
      </c>
      <c r="B421" t="str">
        <f>VLOOKUP(Tb_prod[[#This Row],[Región]],AUX_REGION[],2,0)</f>
        <v>Minera Romero</v>
      </c>
      <c r="C421" t="s">
        <v>27</v>
      </c>
      <c r="D421" t="s">
        <v>23</v>
      </c>
      <c r="E421" t="s">
        <v>19</v>
      </c>
      <c r="F421" t="s">
        <v>15</v>
      </c>
      <c r="G421" t="s">
        <v>22</v>
      </c>
      <c r="H421" s="23">
        <v>4963.84</v>
      </c>
      <c r="I421" s="23">
        <v>1003.23</v>
      </c>
      <c r="J421" s="23">
        <v>61228.09</v>
      </c>
      <c r="K421" s="23">
        <v>1309.94</v>
      </c>
      <c r="L421" s="10">
        <v>33552933480</v>
      </c>
      <c r="M421" s="9">
        <v>111983094090</v>
      </c>
      <c r="N421" s="12">
        <f xml:space="preserve"> Tb_prod[[#This Row],[Costo_Mantenimiento_CLP]] / Tb_prod[[#This Row],[Dias_Operación_Mes]]</f>
        <v>1198319052.8571429</v>
      </c>
      <c r="O421" s="11">
        <f>Tb_prod[[#This Row],[Costo_Operativo_CLP]] / Tb_prod[[#This Row],[Producción_Toneladas]]</f>
        <v>22559771.082468409</v>
      </c>
      <c r="P421">
        <v>163</v>
      </c>
      <c r="Q421">
        <v>28</v>
      </c>
      <c r="R421" s="6">
        <v>45084</v>
      </c>
      <c r="S421" t="str">
        <f t="shared" si="15"/>
        <v>miércoles</v>
      </c>
      <c r="T421" t="str">
        <f t="shared" si="14"/>
        <v>junio</v>
      </c>
      <c r="U421">
        <v>72.8</v>
      </c>
      <c r="V421">
        <f xml:space="preserve"> Tb_prod[[#This Row],[Emisiones_CO2_ton]] / Tb_prod[[#This Row],[Cantidad_Empleados]]</f>
        <v>8.036441717791412</v>
      </c>
      <c r="W421" t="str">
        <f>IF(Tb_prod[[#This Row],[Recuperación_Metal_Porcentaje]]&gt;90,"Alta",IF(Tb_prod[[#This Row],[Recuperación_Metal_Porcentaje]]&gt;75,"Media","Baja"))</f>
        <v>Baja</v>
      </c>
      <c r="X421" t="str">
        <f>IF(AND(Tb_prod[[#This Row],[Consumo_Energia_MWh]]&lt;=2000,Tb_prod[[#This Row],[Riesgo_Ambiental]]="Alto"),"Crítica","Normal")</f>
        <v>Normal</v>
      </c>
    </row>
    <row r="422" spans="1:24">
      <c r="A422">
        <v>410</v>
      </c>
      <c r="B422" t="str">
        <f>VLOOKUP(Tb_prod[[#This Row],[Región]],AUX_REGION[],2,0)</f>
        <v>Minera del Norte</v>
      </c>
      <c r="C422" t="s">
        <v>12</v>
      </c>
      <c r="D422" t="s">
        <v>18</v>
      </c>
      <c r="E422" t="s">
        <v>19</v>
      </c>
      <c r="F422" t="s">
        <v>15</v>
      </c>
      <c r="G422" t="s">
        <v>20</v>
      </c>
      <c r="H422" s="23">
        <v>7296.1</v>
      </c>
      <c r="I422" s="23">
        <v>1955.02</v>
      </c>
      <c r="J422" s="23">
        <v>61304.04</v>
      </c>
      <c r="K422" s="23">
        <v>1333.36</v>
      </c>
      <c r="L422" s="10">
        <v>1814730300</v>
      </c>
      <c r="M422" s="9">
        <v>110680377750</v>
      </c>
      <c r="N422" s="12">
        <f xml:space="preserve"> Tb_prod[[#This Row],[Costo_Mantenimiento_CLP]] / Tb_prod[[#This Row],[Dias_Operación_Mes]]</f>
        <v>72589212</v>
      </c>
      <c r="O422" s="11">
        <f>Tb_prod[[#This Row],[Costo_Operativo_CLP]] / Tb_prod[[#This Row],[Producción_Toneladas]]</f>
        <v>15169799.995888213</v>
      </c>
      <c r="P422">
        <v>296</v>
      </c>
      <c r="Q422">
        <v>25</v>
      </c>
      <c r="R422" s="6">
        <v>45143</v>
      </c>
      <c r="S422" t="str">
        <f t="shared" si="15"/>
        <v>sábado</v>
      </c>
      <c r="T422" t="str">
        <f t="shared" si="14"/>
        <v>agosto</v>
      </c>
      <c r="U422">
        <v>95.93</v>
      </c>
      <c r="V422">
        <f xml:space="preserve"> Tb_prod[[#This Row],[Emisiones_CO2_ton]] / Tb_prod[[#This Row],[Cantidad_Empleados]]</f>
        <v>4.504594594594594</v>
      </c>
      <c r="W422" t="str">
        <f>IF(Tb_prod[[#This Row],[Recuperación_Metal_Porcentaje]]&gt;90,"Alta",IF(Tb_prod[[#This Row],[Recuperación_Metal_Porcentaje]]&gt;75,"Media","Baja"))</f>
        <v>Alta</v>
      </c>
      <c r="X422" t="str">
        <f>IF(AND(Tb_prod[[#This Row],[Consumo_Energia_MWh]]&lt;=2000,Tb_prod[[#This Row],[Riesgo_Ambiental]]="Alto"),"Crítica","Normal")</f>
        <v>Crítica</v>
      </c>
    </row>
    <row r="423" spans="1:24">
      <c r="A423">
        <v>187</v>
      </c>
      <c r="B423" t="str">
        <f>VLOOKUP(Tb_prod[[#This Row],[Región]],AUX_REGION[],2,0)</f>
        <v>Minera Staff</v>
      </c>
      <c r="C423" t="s">
        <v>17</v>
      </c>
      <c r="D423" t="s">
        <v>13</v>
      </c>
      <c r="E423" t="s">
        <v>14</v>
      </c>
      <c r="F423" t="s">
        <v>15</v>
      </c>
      <c r="G423" t="s">
        <v>16</v>
      </c>
      <c r="H423" s="23">
        <v>8773.32</v>
      </c>
      <c r="I423" s="23">
        <v>2674.88</v>
      </c>
      <c r="J423" s="23">
        <v>61665.09</v>
      </c>
      <c r="K423" s="23">
        <v>1275.02</v>
      </c>
      <c r="L423" s="10">
        <v>29855507580</v>
      </c>
      <c r="M423" s="9">
        <v>176888516760</v>
      </c>
      <c r="N423" s="12">
        <f xml:space="preserve"> Tb_prod[[#This Row],[Costo_Mantenimiento_CLP]] / Tb_prod[[#This Row],[Dias_Operación_Mes]]</f>
        <v>1066268127.8571428</v>
      </c>
      <c r="O423" s="11">
        <f>Tb_prod[[#This Row],[Costo_Operativo_CLP]] / Tb_prod[[#This Row],[Producción_Toneladas]]</f>
        <v>20162095.621725868</v>
      </c>
      <c r="P423">
        <v>126</v>
      </c>
      <c r="Q423">
        <v>28</v>
      </c>
      <c r="R423" s="6">
        <v>45807</v>
      </c>
      <c r="S423" t="str">
        <f t="shared" si="15"/>
        <v>viernes</v>
      </c>
      <c r="T423" t="str">
        <f t="shared" si="14"/>
        <v>mayo</v>
      </c>
      <c r="U423">
        <v>97.98</v>
      </c>
      <c r="V423">
        <f xml:space="preserve"> Tb_prod[[#This Row],[Emisiones_CO2_ton]] / Tb_prod[[#This Row],[Cantidad_Empleados]]</f>
        <v>10.119206349206349</v>
      </c>
      <c r="W423" t="str">
        <f>IF(Tb_prod[[#This Row],[Recuperación_Metal_Porcentaje]]&gt;90,"Alta",IF(Tb_prod[[#This Row],[Recuperación_Metal_Porcentaje]]&gt;75,"Media","Baja"))</f>
        <v>Alta</v>
      </c>
      <c r="X423" t="str">
        <f>IF(AND(Tb_prod[[#This Row],[Consumo_Energia_MWh]]&lt;=2000,Tb_prod[[#This Row],[Riesgo_Ambiental]]="Alto"),"Crítica","Normal")</f>
        <v>Normal</v>
      </c>
    </row>
    <row r="424" spans="1:24">
      <c r="A424">
        <v>400</v>
      </c>
      <c r="B424" t="str">
        <f>VLOOKUP(Tb_prod[[#This Row],[Región]],AUX_REGION[],2,0)</f>
        <v>Minera Staff</v>
      </c>
      <c r="C424" t="s">
        <v>25</v>
      </c>
      <c r="D424" t="s">
        <v>13</v>
      </c>
      <c r="E424" t="s">
        <v>19</v>
      </c>
      <c r="F424" t="s">
        <v>24</v>
      </c>
      <c r="G424" t="s">
        <v>20</v>
      </c>
      <c r="H424" s="23">
        <v>2548.56</v>
      </c>
      <c r="I424" s="23">
        <v>2685.43</v>
      </c>
      <c r="J424" s="23">
        <v>61767.3</v>
      </c>
      <c r="K424" s="23">
        <v>1392.49</v>
      </c>
      <c r="L424" s="10">
        <v>4579062660</v>
      </c>
      <c r="M424" s="9">
        <v>177797696670</v>
      </c>
      <c r="N424" s="12">
        <f xml:space="preserve"> Tb_prod[[#This Row],[Costo_Mantenimiento_CLP]] / Tb_prod[[#This Row],[Dias_Operación_Mes]]</f>
        <v>152635422</v>
      </c>
      <c r="O424" s="11">
        <f>Tb_prod[[#This Row],[Costo_Operativo_CLP]] / Tb_prod[[#This Row],[Producción_Toneladas]]</f>
        <v>69763983.061022699</v>
      </c>
      <c r="P424">
        <v>92</v>
      </c>
      <c r="Q424">
        <v>30</v>
      </c>
      <c r="R424" s="6">
        <v>45943</v>
      </c>
      <c r="S424" t="str">
        <f t="shared" si="15"/>
        <v>lunes</v>
      </c>
      <c r="T424" t="str">
        <f t="shared" si="14"/>
        <v>octubre</v>
      </c>
      <c r="U424">
        <v>75.77</v>
      </c>
      <c r="V424">
        <f xml:space="preserve"> Tb_prod[[#This Row],[Emisiones_CO2_ton]] / Tb_prod[[#This Row],[Cantidad_Empleados]]</f>
        <v>15.135760869565217</v>
      </c>
      <c r="W424" t="str">
        <f>IF(Tb_prod[[#This Row],[Recuperación_Metal_Porcentaje]]&gt;90,"Alta",IF(Tb_prod[[#This Row],[Recuperación_Metal_Porcentaje]]&gt;75,"Media","Baja"))</f>
        <v>Media</v>
      </c>
      <c r="X424" t="str">
        <f>IF(AND(Tb_prod[[#This Row],[Consumo_Energia_MWh]]&lt;=2000,Tb_prod[[#This Row],[Riesgo_Ambiental]]="Alto"),"Crítica","Normal")</f>
        <v>Normal</v>
      </c>
    </row>
    <row r="425" spans="1:24">
      <c r="A425">
        <v>246</v>
      </c>
      <c r="B425" t="str">
        <f>VLOOKUP(Tb_prod[[#This Row],[Región]],AUX_REGION[],2,0)</f>
        <v>Minera Staff</v>
      </c>
      <c r="C425" t="s">
        <v>21</v>
      </c>
      <c r="D425" t="s">
        <v>13</v>
      </c>
      <c r="E425" t="s">
        <v>19</v>
      </c>
      <c r="F425" t="s">
        <v>15</v>
      </c>
      <c r="G425" t="s">
        <v>20</v>
      </c>
      <c r="H425" s="23">
        <v>7351.03</v>
      </c>
      <c r="I425" s="23">
        <v>2182.0700000000002</v>
      </c>
      <c r="J425" s="23">
        <v>62253.22</v>
      </c>
      <c r="K425" s="23">
        <v>1240.8800000000001</v>
      </c>
      <c r="L425" s="10">
        <v>13490863650</v>
      </c>
      <c r="M425" s="9">
        <v>179748374490</v>
      </c>
      <c r="N425" s="12">
        <f xml:space="preserve"> Tb_prod[[#This Row],[Costo_Mantenimiento_CLP]] / Tb_prod[[#This Row],[Dias_Operación_Mes]]</f>
        <v>465202194.82758623</v>
      </c>
      <c r="O425" s="11">
        <f>Tb_prod[[#This Row],[Costo_Operativo_CLP]] / Tb_prod[[#This Row],[Producción_Toneladas]]</f>
        <v>24452134.529446896</v>
      </c>
      <c r="P425">
        <v>254</v>
      </c>
      <c r="Q425">
        <v>29</v>
      </c>
      <c r="R425" s="6">
        <v>45025</v>
      </c>
      <c r="S425" t="str">
        <f t="shared" si="15"/>
        <v>domingo</v>
      </c>
      <c r="T425" t="str">
        <f t="shared" si="14"/>
        <v>abril</v>
      </c>
      <c r="U425">
        <v>93.27</v>
      </c>
      <c r="V425">
        <f xml:space="preserve"> Tb_prod[[#This Row],[Emisiones_CO2_ton]] / Tb_prod[[#This Row],[Cantidad_Empleados]]</f>
        <v>4.8853543307086618</v>
      </c>
      <c r="W425" t="str">
        <f>IF(Tb_prod[[#This Row],[Recuperación_Metal_Porcentaje]]&gt;90,"Alta",IF(Tb_prod[[#This Row],[Recuperación_Metal_Porcentaje]]&gt;75,"Media","Baja"))</f>
        <v>Alta</v>
      </c>
      <c r="X425" t="str">
        <f>IF(AND(Tb_prod[[#This Row],[Consumo_Energia_MWh]]&lt;=2000,Tb_prod[[#This Row],[Riesgo_Ambiental]]="Alto"),"Crítica","Normal")</f>
        <v>Normal</v>
      </c>
    </row>
    <row r="426" spans="1:24">
      <c r="A426">
        <v>433</v>
      </c>
      <c r="B426" t="str">
        <f>VLOOKUP(Tb_prod[[#This Row],[Región]],AUX_REGION[],2,0)</f>
        <v>Minera Romero</v>
      </c>
      <c r="C426" t="s">
        <v>12</v>
      </c>
      <c r="D426" t="s">
        <v>23</v>
      </c>
      <c r="E426" t="s">
        <v>19</v>
      </c>
      <c r="F426" t="s">
        <v>15</v>
      </c>
      <c r="G426" t="s">
        <v>22</v>
      </c>
      <c r="H426" s="23">
        <v>4307.5600000000004</v>
      </c>
      <c r="I426" s="23">
        <v>1809.46</v>
      </c>
      <c r="J426" s="23">
        <v>62304.639999999999</v>
      </c>
      <c r="K426" s="23">
        <v>929.13</v>
      </c>
      <c r="L426" s="10">
        <v>61177634111056.398</v>
      </c>
      <c r="M426" s="9">
        <v>163996583310</v>
      </c>
      <c r="N426" s="12">
        <f xml:space="preserve"> Tb_prod[[#This Row],[Costo_Mantenimiento_CLP]] / Tb_prod[[#This Row],[Dias_Operación_Mes]]</f>
        <v>2039254470368.5466</v>
      </c>
      <c r="O426" s="11">
        <f>Tb_prod[[#This Row],[Costo_Operativo_CLP]] / Tb_prod[[#This Row],[Producción_Toneladas]]</f>
        <v>38071804.759539038</v>
      </c>
      <c r="P426">
        <v>215</v>
      </c>
      <c r="Q426">
        <v>30</v>
      </c>
      <c r="R426" s="6">
        <v>45874</v>
      </c>
      <c r="S426" t="str">
        <f t="shared" si="15"/>
        <v>martes</v>
      </c>
      <c r="T426" t="str">
        <f t="shared" si="14"/>
        <v>agosto</v>
      </c>
      <c r="U426">
        <v>71.37</v>
      </c>
      <c r="V426">
        <f xml:space="preserve"> Tb_prod[[#This Row],[Emisiones_CO2_ton]] / Tb_prod[[#This Row],[Cantidad_Empleados]]</f>
        <v>4.32153488372093</v>
      </c>
      <c r="W426" t="str">
        <f>IF(Tb_prod[[#This Row],[Recuperación_Metal_Porcentaje]]&gt;90,"Alta",IF(Tb_prod[[#This Row],[Recuperación_Metal_Porcentaje]]&gt;75,"Media","Baja"))</f>
        <v>Baja</v>
      </c>
      <c r="X426" t="str">
        <f>IF(AND(Tb_prod[[#This Row],[Consumo_Energia_MWh]]&lt;=2000,Tb_prod[[#This Row],[Riesgo_Ambiental]]="Alto"),"Crítica","Normal")</f>
        <v>Normal</v>
      </c>
    </row>
    <row r="427" spans="1:24">
      <c r="A427">
        <v>491</v>
      </c>
      <c r="B427" t="str">
        <f>VLOOKUP(Tb_prod[[#This Row],[Región]],AUX_REGION[],2,0)</f>
        <v>Minera del Norte</v>
      </c>
      <c r="C427" t="s">
        <v>27</v>
      </c>
      <c r="D427" t="s">
        <v>18</v>
      </c>
      <c r="E427" t="s">
        <v>19</v>
      </c>
      <c r="F427" t="s">
        <v>26</v>
      </c>
      <c r="G427" t="s">
        <v>16</v>
      </c>
      <c r="H427" s="23">
        <v>7534.46</v>
      </c>
      <c r="I427" s="23">
        <v>3033.11</v>
      </c>
      <c r="J427" s="23">
        <v>62367.89</v>
      </c>
      <c r="K427" s="23">
        <v>1061.99</v>
      </c>
      <c r="L427" s="10">
        <v>33914537730</v>
      </c>
      <c r="M427" s="9">
        <v>22183756020</v>
      </c>
      <c r="N427" s="12">
        <f xml:space="preserve"> Tb_prod[[#This Row],[Costo_Mantenimiento_CLP]] / Tb_prod[[#This Row],[Dias_Operación_Mes]]</f>
        <v>1541569896.8181818</v>
      </c>
      <c r="O427" s="11">
        <f>Tb_prod[[#This Row],[Costo_Operativo_CLP]] / Tb_prod[[#This Row],[Producción_Toneladas]]</f>
        <v>2944306.0312218792</v>
      </c>
      <c r="P427">
        <v>115</v>
      </c>
      <c r="Q427">
        <v>22</v>
      </c>
      <c r="R427" s="6">
        <v>45129</v>
      </c>
      <c r="S427" t="str">
        <f t="shared" si="15"/>
        <v>sábado</v>
      </c>
      <c r="T427" t="str">
        <f t="shared" si="14"/>
        <v>julio</v>
      </c>
      <c r="U427">
        <v>71.81</v>
      </c>
      <c r="V427">
        <f xml:space="preserve"> Tb_prod[[#This Row],[Emisiones_CO2_ton]] / Tb_prod[[#This Row],[Cantidad_Empleados]]</f>
        <v>9.2346956521739134</v>
      </c>
      <c r="W427" t="str">
        <f>IF(Tb_prod[[#This Row],[Recuperación_Metal_Porcentaje]]&gt;90,"Alta",IF(Tb_prod[[#This Row],[Recuperación_Metal_Porcentaje]]&gt;75,"Media","Baja"))</f>
        <v>Baja</v>
      </c>
      <c r="X427" t="str">
        <f>IF(AND(Tb_prod[[#This Row],[Consumo_Energia_MWh]]&lt;=2000,Tb_prod[[#This Row],[Riesgo_Ambiental]]="Alto"),"Crítica","Normal")</f>
        <v>Normal</v>
      </c>
    </row>
    <row r="428" spans="1:24">
      <c r="A428">
        <v>494</v>
      </c>
      <c r="B428" t="str">
        <f>VLOOKUP(Tb_prod[[#This Row],[Región]],AUX_REGION[],2,0)</f>
        <v>Minera Staff</v>
      </c>
      <c r="C428" t="s">
        <v>27</v>
      </c>
      <c r="D428" t="s">
        <v>13</v>
      </c>
      <c r="E428" t="s">
        <v>19</v>
      </c>
      <c r="F428" t="s">
        <v>24</v>
      </c>
      <c r="G428" t="s">
        <v>16</v>
      </c>
      <c r="H428" s="23">
        <v>2692.95</v>
      </c>
      <c r="I428" s="23">
        <v>2016.63</v>
      </c>
      <c r="J428" s="23">
        <v>62617.56</v>
      </c>
      <c r="K428" s="23">
        <v>676.64</v>
      </c>
      <c r="L428" s="10">
        <v>31537745910</v>
      </c>
      <c r="M428" s="9">
        <v>57608627760</v>
      </c>
      <c r="N428" s="12">
        <f xml:space="preserve"> Tb_prod[[#This Row],[Costo_Mantenimiento_CLP]] / Tb_prod[[#This Row],[Dias_Operación_Mes]]</f>
        <v>1576887295.5</v>
      </c>
      <c r="O428" s="11">
        <f>Tb_prod[[#This Row],[Costo_Operativo_CLP]] / Tb_prod[[#This Row],[Producción_Toneladas]]</f>
        <v>21392386.698601905</v>
      </c>
      <c r="P428">
        <v>171</v>
      </c>
      <c r="Q428">
        <v>20</v>
      </c>
      <c r="R428" s="6">
        <v>45210</v>
      </c>
      <c r="S428" t="str">
        <f t="shared" si="15"/>
        <v>miércoles</v>
      </c>
      <c r="T428" t="str">
        <f t="shared" si="14"/>
        <v>octubre</v>
      </c>
      <c r="U428">
        <v>74.11</v>
      </c>
      <c r="V428">
        <f xml:space="preserve"> Tb_prod[[#This Row],[Emisiones_CO2_ton]] / Tb_prod[[#This Row],[Cantidad_Empleados]]</f>
        <v>3.9569590643274855</v>
      </c>
      <c r="W428" t="str">
        <f>IF(Tb_prod[[#This Row],[Recuperación_Metal_Porcentaje]]&gt;90,"Alta",IF(Tb_prod[[#This Row],[Recuperación_Metal_Porcentaje]]&gt;75,"Media","Baja"))</f>
        <v>Baja</v>
      </c>
      <c r="X428" t="str">
        <f>IF(AND(Tb_prod[[#This Row],[Consumo_Energia_MWh]]&lt;=2000,Tb_prod[[#This Row],[Riesgo_Ambiental]]="Alto"),"Crítica","Normal")</f>
        <v>Normal</v>
      </c>
    </row>
    <row r="429" spans="1:24">
      <c r="A429">
        <v>487</v>
      </c>
      <c r="B429" t="str">
        <f>VLOOKUP(Tb_prod[[#This Row],[Región]],AUX_REGION[],2,0)</f>
        <v>Minera Romero</v>
      </c>
      <c r="C429" t="s">
        <v>27</v>
      </c>
      <c r="D429" t="s">
        <v>23</v>
      </c>
      <c r="E429" t="s">
        <v>19</v>
      </c>
      <c r="F429" t="s">
        <v>15</v>
      </c>
      <c r="G429" t="s">
        <v>22</v>
      </c>
      <c r="H429" s="23">
        <v>4218.63</v>
      </c>
      <c r="I429" s="23">
        <v>3116.41</v>
      </c>
      <c r="J429" s="23">
        <v>62748</v>
      </c>
      <c r="K429" s="23">
        <v>874.21</v>
      </c>
      <c r="L429" s="10">
        <v>14427552330</v>
      </c>
      <c r="M429" s="9">
        <v>95791098240</v>
      </c>
      <c r="N429" s="12">
        <f xml:space="preserve"> Tb_prod[[#This Row],[Costo_Mantenimiento_CLP]] / Tb_prod[[#This Row],[Dias_Operación_Mes]]</f>
        <v>601148013.75</v>
      </c>
      <c r="O429" s="11">
        <f>Tb_prod[[#This Row],[Costo_Operativo_CLP]] / Tb_prod[[#This Row],[Producción_Toneladas]]</f>
        <v>22706683.980344329</v>
      </c>
      <c r="P429">
        <v>161</v>
      </c>
      <c r="Q429">
        <v>24</v>
      </c>
      <c r="R429" s="6">
        <v>45079</v>
      </c>
      <c r="S429" t="str">
        <f t="shared" si="15"/>
        <v>viernes</v>
      </c>
      <c r="T429" t="str">
        <f t="shared" si="14"/>
        <v>junio</v>
      </c>
      <c r="U429">
        <v>94.63</v>
      </c>
      <c r="V429">
        <f xml:space="preserve"> Tb_prod[[#This Row],[Emisiones_CO2_ton]] / Tb_prod[[#This Row],[Cantidad_Empleados]]</f>
        <v>5.4298757763975161</v>
      </c>
      <c r="W429" t="str">
        <f>IF(Tb_prod[[#This Row],[Recuperación_Metal_Porcentaje]]&gt;90,"Alta",IF(Tb_prod[[#This Row],[Recuperación_Metal_Porcentaje]]&gt;75,"Media","Baja"))</f>
        <v>Alta</v>
      </c>
      <c r="X429" t="str">
        <f>IF(AND(Tb_prod[[#This Row],[Consumo_Energia_MWh]]&lt;=2000,Tb_prod[[#This Row],[Riesgo_Ambiental]]="Alto"),"Crítica","Normal")</f>
        <v>Normal</v>
      </c>
    </row>
    <row r="430" spans="1:24">
      <c r="A430">
        <v>9</v>
      </c>
      <c r="B430" t="str">
        <f>VLOOKUP(Tb_prod[[#This Row],[Región]],AUX_REGION[],2,0)</f>
        <v>Minera del Norte</v>
      </c>
      <c r="C430" t="s">
        <v>21</v>
      </c>
      <c r="D430" t="s">
        <v>18</v>
      </c>
      <c r="E430" t="s">
        <v>14</v>
      </c>
      <c r="F430" t="s">
        <v>15</v>
      </c>
      <c r="G430" t="s">
        <v>22</v>
      </c>
      <c r="H430" s="23">
        <v>3097.97</v>
      </c>
      <c r="I430" s="23">
        <v>1452.08</v>
      </c>
      <c r="J430" s="23">
        <v>62800.63</v>
      </c>
      <c r="K430" s="23">
        <v>991.57</v>
      </c>
      <c r="L430" s="10">
        <v>12044173860</v>
      </c>
      <c r="M430" s="9">
        <v>24423346080</v>
      </c>
      <c r="N430" s="12">
        <f xml:space="preserve"> Tb_prod[[#This Row],[Costo_Mantenimiento_CLP]] / Tb_prod[[#This Row],[Dias_Operación_Mes]]</f>
        <v>501840577.5</v>
      </c>
      <c r="O430" s="11">
        <f>Tb_prod[[#This Row],[Costo_Operativo_CLP]] / Tb_prod[[#This Row],[Producción_Toneladas]]</f>
        <v>7883661.2620522473</v>
      </c>
      <c r="P430">
        <v>166</v>
      </c>
      <c r="Q430">
        <v>24</v>
      </c>
      <c r="R430" s="6">
        <v>45742</v>
      </c>
      <c r="S430" t="str">
        <f t="shared" si="15"/>
        <v>miércoles</v>
      </c>
      <c r="T430" t="str">
        <f t="shared" si="14"/>
        <v>marzo</v>
      </c>
      <c r="U430">
        <v>85.13</v>
      </c>
      <c r="V430">
        <f xml:space="preserve"> Tb_prod[[#This Row],[Emisiones_CO2_ton]] / Tb_prod[[#This Row],[Cantidad_Empleados]]</f>
        <v>5.9733132530120487</v>
      </c>
      <c r="W430" t="str">
        <f>IF(Tb_prod[[#This Row],[Recuperación_Metal_Porcentaje]]&gt;90,"Alta",IF(Tb_prod[[#This Row],[Recuperación_Metal_Porcentaje]]&gt;75,"Media","Baja"))</f>
        <v>Media</v>
      </c>
      <c r="X430" t="str">
        <f>IF(AND(Tb_prod[[#This Row],[Consumo_Energia_MWh]]&lt;=2000,Tb_prod[[#This Row],[Riesgo_Ambiental]]="Alto"),"Crítica","Normal")</f>
        <v>Normal</v>
      </c>
    </row>
    <row r="431" spans="1:24">
      <c r="A431">
        <v>411</v>
      </c>
      <c r="B431" t="str">
        <f>VLOOKUP(Tb_prod[[#This Row],[Región]],AUX_REGION[],2,0)</f>
        <v>Minera Staff</v>
      </c>
      <c r="C431" t="s">
        <v>25</v>
      </c>
      <c r="D431" t="s">
        <v>13</v>
      </c>
      <c r="E431" t="s">
        <v>19</v>
      </c>
      <c r="F431" t="s">
        <v>26</v>
      </c>
      <c r="G431" t="s">
        <v>22</v>
      </c>
      <c r="H431" s="23">
        <v>4854.67</v>
      </c>
      <c r="I431" s="23">
        <v>1244.76</v>
      </c>
      <c r="J431" s="23">
        <v>62809</v>
      </c>
      <c r="K431" s="23">
        <v>1111.8499999999999</v>
      </c>
      <c r="L431" s="10">
        <v>24355129950</v>
      </c>
      <c r="M431" s="9">
        <v>164246201190</v>
      </c>
      <c r="N431" s="12">
        <f xml:space="preserve"> Tb_prod[[#This Row],[Costo_Mantenimiento_CLP]] / Tb_prod[[#This Row],[Dias_Operación_Mes]]</f>
        <v>1159768092.8571429</v>
      </c>
      <c r="O431" s="11">
        <f>Tb_prod[[#This Row],[Costo_Operativo_CLP]] / Tb_prod[[#This Row],[Producción_Toneladas]]</f>
        <v>33832619.146100558</v>
      </c>
      <c r="P431">
        <v>237</v>
      </c>
      <c r="Q431">
        <v>21</v>
      </c>
      <c r="R431" s="6">
        <v>45211</v>
      </c>
      <c r="S431" t="str">
        <f t="shared" si="15"/>
        <v>jueves</v>
      </c>
      <c r="T431" t="str">
        <f t="shared" si="14"/>
        <v>octubre</v>
      </c>
      <c r="U431">
        <v>85.13</v>
      </c>
      <c r="V431">
        <f xml:space="preserve"> Tb_prod[[#This Row],[Emisiones_CO2_ton]] / Tb_prod[[#This Row],[Cantidad_Empleados]]</f>
        <v>4.6913502109704641</v>
      </c>
      <c r="W431" t="str">
        <f>IF(Tb_prod[[#This Row],[Recuperación_Metal_Porcentaje]]&gt;90,"Alta",IF(Tb_prod[[#This Row],[Recuperación_Metal_Porcentaje]]&gt;75,"Media","Baja"))</f>
        <v>Media</v>
      </c>
      <c r="X431" t="str">
        <f>IF(AND(Tb_prod[[#This Row],[Consumo_Energia_MWh]]&lt;=2000,Tb_prod[[#This Row],[Riesgo_Ambiental]]="Alto"),"Crítica","Normal")</f>
        <v>Normal</v>
      </c>
    </row>
    <row r="432" spans="1:24">
      <c r="A432">
        <v>316</v>
      </c>
      <c r="B432" t="str">
        <f>VLOOKUP(Tb_prod[[#This Row],[Región]],AUX_REGION[],2,0)</f>
        <v>Minera del Norte</v>
      </c>
      <c r="C432" t="s">
        <v>25</v>
      </c>
      <c r="D432" t="s">
        <v>18</v>
      </c>
      <c r="E432" t="s">
        <v>19</v>
      </c>
      <c r="F432" t="s">
        <v>24</v>
      </c>
      <c r="G432" t="s">
        <v>20</v>
      </c>
      <c r="H432" s="23">
        <v>5636.21</v>
      </c>
      <c r="I432" s="23">
        <v>1773.85</v>
      </c>
      <c r="J432" s="23">
        <v>62853</v>
      </c>
      <c r="K432" s="23">
        <v>457.38</v>
      </c>
      <c r="L432" s="10">
        <v>27880711290</v>
      </c>
      <c r="M432" s="9">
        <v>105296192370</v>
      </c>
      <c r="N432" s="12">
        <f xml:space="preserve"> Tb_prod[[#This Row],[Costo_Mantenimiento_CLP]] / Tb_prod[[#This Row],[Dias_Operación_Mes]]</f>
        <v>1212204838.6956522</v>
      </c>
      <c r="O432" s="11">
        <f>Tb_prod[[#This Row],[Costo_Operativo_CLP]] / Tb_prod[[#This Row],[Producción_Toneladas]]</f>
        <v>18682091.754920416</v>
      </c>
      <c r="P432">
        <v>186</v>
      </c>
      <c r="Q432">
        <v>23</v>
      </c>
      <c r="R432" s="6">
        <v>45416</v>
      </c>
      <c r="S432" t="str">
        <f t="shared" si="15"/>
        <v>sábado</v>
      </c>
      <c r="T432" t="str">
        <f t="shared" si="14"/>
        <v>mayo</v>
      </c>
      <c r="U432">
        <v>73.58</v>
      </c>
      <c r="V432">
        <f xml:space="preserve"> Tb_prod[[#This Row],[Emisiones_CO2_ton]] / Tb_prod[[#This Row],[Cantidad_Empleados]]</f>
        <v>2.4590322580645161</v>
      </c>
      <c r="W432" t="str">
        <f>IF(Tb_prod[[#This Row],[Recuperación_Metal_Porcentaje]]&gt;90,"Alta",IF(Tb_prod[[#This Row],[Recuperación_Metal_Porcentaje]]&gt;75,"Media","Baja"))</f>
        <v>Baja</v>
      </c>
      <c r="X432" t="str">
        <f>IF(AND(Tb_prod[[#This Row],[Consumo_Energia_MWh]]&lt;=2000,Tb_prod[[#This Row],[Riesgo_Ambiental]]="Alto"),"Crítica","Normal")</f>
        <v>Crítica</v>
      </c>
    </row>
    <row r="433" spans="1:24">
      <c r="A433">
        <v>338</v>
      </c>
      <c r="B433" t="str">
        <f>VLOOKUP(Tb_prod[[#This Row],[Región]],AUX_REGION[],2,0)</f>
        <v>Minera del Norte</v>
      </c>
      <c r="C433" t="s">
        <v>12</v>
      </c>
      <c r="D433" t="s">
        <v>18</v>
      </c>
      <c r="E433" t="s">
        <v>19</v>
      </c>
      <c r="F433" t="s">
        <v>24</v>
      </c>
      <c r="G433" t="s">
        <v>20</v>
      </c>
      <c r="H433" s="23">
        <v>4680.3</v>
      </c>
      <c r="I433" s="23">
        <v>2690.17</v>
      </c>
      <c r="J433" s="23">
        <v>62907.89</v>
      </c>
      <c r="K433" s="23">
        <v>915.02</v>
      </c>
      <c r="L433" s="10">
        <v>31192473960</v>
      </c>
      <c r="M433" s="9">
        <v>36222150060</v>
      </c>
      <c r="N433" s="12">
        <f xml:space="preserve"> Tb_prod[[#This Row],[Costo_Mantenimiento_CLP]] / Tb_prod[[#This Row],[Dias_Operación_Mes]]</f>
        <v>1247698958.4000001</v>
      </c>
      <c r="O433" s="11">
        <f>Tb_prod[[#This Row],[Costo_Operativo_CLP]] / Tb_prod[[#This Row],[Producción_Toneladas]]</f>
        <v>7739279.546182937</v>
      </c>
      <c r="P433">
        <v>61</v>
      </c>
      <c r="Q433">
        <v>25</v>
      </c>
      <c r="R433" s="6">
        <v>45787</v>
      </c>
      <c r="S433" t="str">
        <f t="shared" si="15"/>
        <v>sábado</v>
      </c>
      <c r="T433" t="str">
        <f t="shared" si="14"/>
        <v>mayo</v>
      </c>
      <c r="U433">
        <v>89.34</v>
      </c>
      <c r="V433">
        <f xml:space="preserve"> Tb_prod[[#This Row],[Emisiones_CO2_ton]] / Tb_prod[[#This Row],[Cantidad_Empleados]]</f>
        <v>15.000327868852459</v>
      </c>
      <c r="W433" t="str">
        <f>IF(Tb_prod[[#This Row],[Recuperación_Metal_Porcentaje]]&gt;90,"Alta",IF(Tb_prod[[#This Row],[Recuperación_Metal_Porcentaje]]&gt;75,"Media","Baja"))</f>
        <v>Media</v>
      </c>
      <c r="X433" t="str">
        <f>IF(AND(Tb_prod[[#This Row],[Consumo_Energia_MWh]]&lt;=2000,Tb_prod[[#This Row],[Riesgo_Ambiental]]="Alto"),"Crítica","Normal")</f>
        <v>Normal</v>
      </c>
    </row>
    <row r="434" spans="1:24">
      <c r="A434">
        <v>152</v>
      </c>
      <c r="B434" t="str">
        <f>VLOOKUP(Tb_prod[[#This Row],[Región]],AUX_REGION[],2,0)</f>
        <v>Minera del Norte</v>
      </c>
      <c r="C434" t="s">
        <v>27</v>
      </c>
      <c r="D434" t="s">
        <v>18</v>
      </c>
      <c r="E434" t="s">
        <v>19</v>
      </c>
      <c r="F434" t="s">
        <v>26</v>
      </c>
      <c r="G434" t="s">
        <v>22</v>
      </c>
      <c r="H434" s="23">
        <v>5737.69</v>
      </c>
      <c r="I434" s="23">
        <v>2020.91</v>
      </c>
      <c r="J434" s="23">
        <v>63089.87</v>
      </c>
      <c r="K434" s="23">
        <v>1389.99</v>
      </c>
      <c r="L434" s="10">
        <v>20109356100</v>
      </c>
      <c r="M434" s="9">
        <v>23363274150</v>
      </c>
      <c r="N434" s="12">
        <f xml:space="preserve"> Tb_prod[[#This Row],[Costo_Mantenimiento_CLP]] / Tb_prod[[#This Row],[Dias_Operación_Mes]]</f>
        <v>744790966.66666663</v>
      </c>
      <c r="O434" s="11">
        <f>Tb_prod[[#This Row],[Costo_Operativo_CLP]] / Tb_prod[[#This Row],[Producción_Toneladas]]</f>
        <v>4071895.510214041</v>
      </c>
      <c r="P434">
        <v>87</v>
      </c>
      <c r="Q434">
        <v>27</v>
      </c>
      <c r="R434" s="6">
        <v>45173</v>
      </c>
      <c r="S434" t="str">
        <f t="shared" si="15"/>
        <v>lunes</v>
      </c>
      <c r="T434" t="str">
        <f t="shared" si="14"/>
        <v>septiembre</v>
      </c>
      <c r="U434">
        <v>73.010000000000005</v>
      </c>
      <c r="V434">
        <f xml:space="preserve"> Tb_prod[[#This Row],[Emisiones_CO2_ton]] / Tb_prod[[#This Row],[Cantidad_Empleados]]</f>
        <v>15.976896551724138</v>
      </c>
      <c r="W434" t="str">
        <f>IF(Tb_prod[[#This Row],[Recuperación_Metal_Porcentaje]]&gt;90,"Alta",IF(Tb_prod[[#This Row],[Recuperación_Metal_Porcentaje]]&gt;75,"Media","Baja"))</f>
        <v>Baja</v>
      </c>
      <c r="X434" t="str">
        <f>IF(AND(Tb_prod[[#This Row],[Consumo_Energia_MWh]]&lt;=2000,Tb_prod[[#This Row],[Riesgo_Ambiental]]="Alto"),"Crítica","Normal")</f>
        <v>Normal</v>
      </c>
    </row>
    <row r="435" spans="1:24">
      <c r="A435">
        <v>402</v>
      </c>
      <c r="B435" t="str">
        <f>VLOOKUP(Tb_prod[[#This Row],[Región]],AUX_REGION[],2,0)</f>
        <v>Minera Staff</v>
      </c>
      <c r="C435" t="s">
        <v>17</v>
      </c>
      <c r="D435" t="s">
        <v>13</v>
      </c>
      <c r="E435" t="s">
        <v>19</v>
      </c>
      <c r="F435" t="s">
        <v>26</v>
      </c>
      <c r="G435" t="s">
        <v>16</v>
      </c>
      <c r="H435" s="23">
        <v>1721.43</v>
      </c>
      <c r="I435" s="23">
        <v>2181.87</v>
      </c>
      <c r="J435" s="23">
        <v>63134.91</v>
      </c>
      <c r="K435" s="23">
        <v>1244.9000000000001</v>
      </c>
      <c r="L435" s="10">
        <v>35106238440</v>
      </c>
      <c r="M435" s="9">
        <v>179634735360</v>
      </c>
      <c r="N435" s="12">
        <f xml:space="preserve"> Tb_prod[[#This Row],[Costo_Mantenimiento_CLP]] / Tb_prod[[#This Row],[Dias_Operación_Mes]]</f>
        <v>1671725640</v>
      </c>
      <c r="O435" s="11">
        <f>Tb_prod[[#This Row],[Costo_Operativo_CLP]] / Tb_prod[[#This Row],[Producción_Toneladas]]</f>
        <v>104352041.82569143</v>
      </c>
      <c r="P435">
        <v>107</v>
      </c>
      <c r="Q435">
        <v>21</v>
      </c>
      <c r="R435" s="6">
        <v>45983</v>
      </c>
      <c r="S435" t="str">
        <f t="shared" si="15"/>
        <v>sábado</v>
      </c>
      <c r="T435" t="str">
        <f t="shared" si="14"/>
        <v>noviembre</v>
      </c>
      <c r="U435">
        <v>70.06</v>
      </c>
      <c r="V435">
        <f xml:space="preserve"> Tb_prod[[#This Row],[Emisiones_CO2_ton]] / Tb_prod[[#This Row],[Cantidad_Empleados]]</f>
        <v>11.634579439252338</v>
      </c>
      <c r="W435" t="str">
        <f>IF(Tb_prod[[#This Row],[Recuperación_Metal_Porcentaje]]&gt;90,"Alta",IF(Tb_prod[[#This Row],[Recuperación_Metal_Porcentaje]]&gt;75,"Media","Baja"))</f>
        <v>Baja</v>
      </c>
      <c r="X435" t="str">
        <f>IF(AND(Tb_prod[[#This Row],[Consumo_Energia_MWh]]&lt;=2000,Tb_prod[[#This Row],[Riesgo_Ambiental]]="Alto"),"Crítica","Normal")</f>
        <v>Normal</v>
      </c>
    </row>
    <row r="436" spans="1:24">
      <c r="A436">
        <v>165</v>
      </c>
      <c r="B436" t="str">
        <f>VLOOKUP(Tb_prod[[#This Row],[Región]],AUX_REGION[],2,0)</f>
        <v>Minera Staff</v>
      </c>
      <c r="C436" t="s">
        <v>21</v>
      </c>
      <c r="D436" t="s">
        <v>13</v>
      </c>
      <c r="E436" t="s">
        <v>14</v>
      </c>
      <c r="F436" t="s">
        <v>24</v>
      </c>
      <c r="G436" t="s">
        <v>22</v>
      </c>
      <c r="H436" s="23">
        <v>4148.47</v>
      </c>
      <c r="I436" s="23">
        <v>2024.59</v>
      </c>
      <c r="J436" s="23">
        <v>63140.71</v>
      </c>
      <c r="K436" s="23">
        <v>749.69</v>
      </c>
      <c r="L436" s="10">
        <v>5419510020</v>
      </c>
      <c r="M436" s="9">
        <v>49941327780</v>
      </c>
      <c r="N436" s="12">
        <f xml:space="preserve"> Tb_prod[[#This Row],[Costo_Mantenimiento_CLP]] / Tb_prod[[#This Row],[Dias_Operación_Mes]]</f>
        <v>246341364.54545453</v>
      </c>
      <c r="O436" s="11">
        <f>Tb_prod[[#This Row],[Costo_Operativo_CLP]] / Tb_prod[[#This Row],[Producción_Toneladas]]</f>
        <v>12038493.174592078</v>
      </c>
      <c r="P436">
        <v>138</v>
      </c>
      <c r="Q436">
        <v>22</v>
      </c>
      <c r="R436" s="6">
        <v>45535</v>
      </c>
      <c r="S436" t="str">
        <f t="shared" si="15"/>
        <v>sábado</v>
      </c>
      <c r="T436" t="str">
        <f t="shared" si="14"/>
        <v>agosto</v>
      </c>
      <c r="U436">
        <v>96.07</v>
      </c>
      <c r="V436">
        <f xml:space="preserve"> Tb_prod[[#This Row],[Emisiones_CO2_ton]] / Tb_prod[[#This Row],[Cantidad_Empleados]]</f>
        <v>5.4325362318840584</v>
      </c>
      <c r="W436" t="str">
        <f>IF(Tb_prod[[#This Row],[Recuperación_Metal_Porcentaje]]&gt;90,"Alta",IF(Tb_prod[[#This Row],[Recuperación_Metal_Porcentaje]]&gt;75,"Media","Baja"))</f>
        <v>Alta</v>
      </c>
      <c r="X436" t="str">
        <f>IF(AND(Tb_prod[[#This Row],[Consumo_Energia_MWh]]&lt;=2000,Tb_prod[[#This Row],[Riesgo_Ambiental]]="Alto"),"Crítica","Normal")</f>
        <v>Normal</v>
      </c>
    </row>
    <row r="437" spans="1:24">
      <c r="A437">
        <v>178</v>
      </c>
      <c r="B437" t="str">
        <f>VLOOKUP(Tb_prod[[#This Row],[Región]],AUX_REGION[],2,0)</f>
        <v>Minera Staff</v>
      </c>
      <c r="C437" t="s">
        <v>27</v>
      </c>
      <c r="D437" t="s">
        <v>13</v>
      </c>
      <c r="E437" t="s">
        <v>19</v>
      </c>
      <c r="F437" t="s">
        <v>26</v>
      </c>
      <c r="G437" t="s">
        <v>22</v>
      </c>
      <c r="H437" s="23">
        <v>7323.81</v>
      </c>
      <c r="I437" s="23">
        <v>3225.79</v>
      </c>
      <c r="J437" s="23">
        <v>63179.95</v>
      </c>
      <c r="K437" s="23">
        <v>436.77</v>
      </c>
      <c r="L437" s="10">
        <v>10309909320</v>
      </c>
      <c r="M437" s="9">
        <v>151812814140</v>
      </c>
      <c r="N437" s="12">
        <f xml:space="preserve"> Tb_prod[[#This Row],[Costo_Mantenimiento_CLP]] / Tb_prod[[#This Row],[Dias_Operación_Mes]]</f>
        <v>381848493.33333331</v>
      </c>
      <c r="O437" s="11">
        <f>Tb_prod[[#This Row],[Costo_Operativo_CLP]] / Tb_prod[[#This Row],[Producción_Toneladas]]</f>
        <v>20728666.382661484</v>
      </c>
      <c r="P437">
        <v>237</v>
      </c>
      <c r="Q437">
        <v>27</v>
      </c>
      <c r="R437" s="6">
        <v>45798</v>
      </c>
      <c r="S437" t="str">
        <f t="shared" si="15"/>
        <v>miércoles</v>
      </c>
      <c r="T437" t="str">
        <f t="shared" si="14"/>
        <v>mayo</v>
      </c>
      <c r="U437">
        <v>93.6</v>
      </c>
      <c r="V437">
        <f xml:space="preserve"> Tb_prod[[#This Row],[Emisiones_CO2_ton]] / Tb_prod[[#This Row],[Cantidad_Empleados]]</f>
        <v>1.8429113924050633</v>
      </c>
      <c r="W437" t="str">
        <f>IF(Tb_prod[[#This Row],[Recuperación_Metal_Porcentaje]]&gt;90,"Alta",IF(Tb_prod[[#This Row],[Recuperación_Metal_Porcentaje]]&gt;75,"Media","Baja"))</f>
        <v>Alta</v>
      </c>
      <c r="X437" t="str">
        <f>IF(AND(Tb_prod[[#This Row],[Consumo_Energia_MWh]]&lt;=2000,Tb_prod[[#This Row],[Riesgo_Ambiental]]="Alto"),"Crítica","Normal")</f>
        <v>Normal</v>
      </c>
    </row>
    <row r="438" spans="1:24">
      <c r="A438">
        <v>358</v>
      </c>
      <c r="B438" t="str">
        <f>VLOOKUP(Tb_prod[[#This Row],[Región]],AUX_REGION[],2,0)</f>
        <v>Minera Romero</v>
      </c>
      <c r="C438" t="s">
        <v>17</v>
      </c>
      <c r="D438" t="s">
        <v>23</v>
      </c>
      <c r="E438" t="s">
        <v>14</v>
      </c>
      <c r="F438" t="s">
        <v>26</v>
      </c>
      <c r="G438" t="s">
        <v>20</v>
      </c>
      <c r="H438" s="23">
        <v>4610.59</v>
      </c>
      <c r="I438" s="23">
        <v>1497.61</v>
      </c>
      <c r="J438" s="23">
        <v>63228.51</v>
      </c>
      <c r="K438" s="23">
        <v>1231.98</v>
      </c>
      <c r="L438" s="10">
        <v>29360492730</v>
      </c>
      <c r="M438" s="9">
        <v>165373059870</v>
      </c>
      <c r="N438" s="12">
        <f xml:space="preserve"> Tb_prod[[#This Row],[Costo_Mantenimiento_CLP]] / Tb_prod[[#This Row],[Dias_Operación_Mes]]</f>
        <v>1129249720.3846154</v>
      </c>
      <c r="O438" s="11">
        <f>Tb_prod[[#This Row],[Costo_Operativo_CLP]] / Tb_prod[[#This Row],[Producción_Toneladas]]</f>
        <v>35868090.606625184</v>
      </c>
      <c r="P438">
        <v>105</v>
      </c>
      <c r="Q438">
        <v>26</v>
      </c>
      <c r="R438" s="6">
        <v>45448</v>
      </c>
      <c r="S438" t="str">
        <f t="shared" si="15"/>
        <v>miércoles</v>
      </c>
      <c r="T438" t="str">
        <f t="shared" si="14"/>
        <v>junio</v>
      </c>
      <c r="U438">
        <v>75.069999999999993</v>
      </c>
      <c r="V438">
        <f xml:space="preserve"> Tb_prod[[#This Row],[Emisiones_CO2_ton]] / Tb_prod[[#This Row],[Cantidad_Empleados]]</f>
        <v>11.733142857142857</v>
      </c>
      <c r="W438" t="str">
        <f>IF(Tb_prod[[#This Row],[Recuperación_Metal_Porcentaje]]&gt;90,"Alta",IF(Tb_prod[[#This Row],[Recuperación_Metal_Porcentaje]]&gt;75,"Media","Baja"))</f>
        <v>Media</v>
      </c>
      <c r="X438" t="str">
        <f>IF(AND(Tb_prod[[#This Row],[Consumo_Energia_MWh]]&lt;=2000,Tb_prod[[#This Row],[Riesgo_Ambiental]]="Alto"),"Crítica","Normal")</f>
        <v>Crítica</v>
      </c>
    </row>
    <row r="439" spans="1:24">
      <c r="A439">
        <v>7</v>
      </c>
      <c r="B439" t="str">
        <f>VLOOKUP(Tb_prod[[#This Row],[Región]],AUX_REGION[],2,0)</f>
        <v>Minera del Norte</v>
      </c>
      <c r="C439" t="s">
        <v>21</v>
      </c>
      <c r="D439" t="s">
        <v>18</v>
      </c>
      <c r="E439" t="s">
        <v>14</v>
      </c>
      <c r="F439" t="s">
        <v>15</v>
      </c>
      <c r="G439" t="s">
        <v>20</v>
      </c>
      <c r="H439" s="23">
        <v>4279.82</v>
      </c>
      <c r="I439" s="23">
        <v>1987.99</v>
      </c>
      <c r="J439" s="23">
        <v>63573.82</v>
      </c>
      <c r="K439" s="23">
        <v>825.37</v>
      </c>
      <c r="L439" s="10">
        <v>40268548080</v>
      </c>
      <c r="M439" s="9">
        <v>755182750</v>
      </c>
      <c r="N439" s="12">
        <f xml:space="preserve"> Tb_prod[[#This Row],[Costo_Mantenimiento_CLP]] / Tb_prod[[#This Row],[Dias_Operación_Mes]]</f>
        <v>1750806438.2608695</v>
      </c>
      <c r="O439" s="11">
        <f>Tb_prod[[#This Row],[Costo_Operativo_CLP]] / Tb_prod[[#This Row],[Producción_Toneladas]]</f>
        <v>176451.98863503608</v>
      </c>
      <c r="P439">
        <v>256</v>
      </c>
      <c r="Q439">
        <v>23</v>
      </c>
      <c r="R439" s="6">
        <v>45798</v>
      </c>
      <c r="S439" t="str">
        <f t="shared" si="15"/>
        <v>miércoles</v>
      </c>
      <c r="T439" t="str">
        <f t="shared" si="14"/>
        <v>mayo</v>
      </c>
      <c r="U439">
        <v>71.790000000000006</v>
      </c>
      <c r="V439">
        <f xml:space="preserve"> Tb_prod[[#This Row],[Emisiones_CO2_ton]] / Tb_prod[[#This Row],[Cantidad_Empleados]]</f>
        <v>3.2241015625</v>
      </c>
      <c r="W439" t="str">
        <f>IF(Tb_prod[[#This Row],[Recuperación_Metal_Porcentaje]]&gt;90,"Alta",IF(Tb_prod[[#This Row],[Recuperación_Metal_Porcentaje]]&gt;75,"Media","Baja"))</f>
        <v>Baja</v>
      </c>
      <c r="X439" t="str">
        <f>IF(AND(Tb_prod[[#This Row],[Consumo_Energia_MWh]]&lt;=2000,Tb_prod[[#This Row],[Riesgo_Ambiental]]="Alto"),"Crítica","Normal")</f>
        <v>Crítica</v>
      </c>
    </row>
    <row r="440" spans="1:24">
      <c r="A440">
        <v>88</v>
      </c>
      <c r="B440" t="str">
        <f>VLOOKUP(Tb_prod[[#This Row],[Región]],AUX_REGION[],2,0)</f>
        <v>Minera Staff</v>
      </c>
      <c r="C440" t="s">
        <v>27</v>
      </c>
      <c r="D440" t="s">
        <v>13</v>
      </c>
      <c r="E440" t="s">
        <v>19</v>
      </c>
      <c r="F440" t="s">
        <v>26</v>
      </c>
      <c r="G440" t="s">
        <v>20</v>
      </c>
      <c r="H440" s="23">
        <v>4010.88</v>
      </c>
      <c r="I440" s="23">
        <v>1383.26</v>
      </c>
      <c r="J440" s="23">
        <v>63791.11</v>
      </c>
      <c r="K440" s="23">
        <v>1204.6199999999999</v>
      </c>
      <c r="L440" s="10">
        <v>1708100370</v>
      </c>
      <c r="M440" s="9">
        <v>86406241410</v>
      </c>
      <c r="N440" s="12">
        <f xml:space="preserve"> Tb_prod[[#This Row],[Costo_Mantenimiento_CLP]] / Tb_prod[[#This Row],[Dias_Operación_Mes]]</f>
        <v>85405018.5</v>
      </c>
      <c r="O440" s="11">
        <f>Tb_prod[[#This Row],[Costo_Operativo_CLP]] / Tb_prod[[#This Row],[Producción_Toneladas]]</f>
        <v>21542963.491802298</v>
      </c>
      <c r="P440">
        <v>60</v>
      </c>
      <c r="Q440">
        <v>20</v>
      </c>
      <c r="R440" s="6">
        <v>45061</v>
      </c>
      <c r="S440" t="str">
        <f t="shared" si="15"/>
        <v>lunes</v>
      </c>
      <c r="T440" t="str">
        <f t="shared" si="14"/>
        <v>mayo</v>
      </c>
      <c r="U440">
        <v>90.33</v>
      </c>
      <c r="V440">
        <f xml:space="preserve"> Tb_prod[[#This Row],[Emisiones_CO2_ton]] / Tb_prod[[#This Row],[Cantidad_Empleados]]</f>
        <v>20.076999999999998</v>
      </c>
      <c r="W440" t="str">
        <f>IF(Tb_prod[[#This Row],[Recuperación_Metal_Porcentaje]]&gt;90,"Alta",IF(Tb_prod[[#This Row],[Recuperación_Metal_Porcentaje]]&gt;75,"Media","Baja"))</f>
        <v>Alta</v>
      </c>
      <c r="X440" t="str">
        <f>IF(AND(Tb_prod[[#This Row],[Consumo_Energia_MWh]]&lt;=2000,Tb_prod[[#This Row],[Riesgo_Ambiental]]="Alto"),"Crítica","Normal")</f>
        <v>Crítica</v>
      </c>
    </row>
    <row r="441" spans="1:24">
      <c r="A441">
        <v>33</v>
      </c>
      <c r="B441" t="str">
        <f>VLOOKUP(Tb_prod[[#This Row],[Región]],AUX_REGION[],2,0)</f>
        <v>Minera Staff</v>
      </c>
      <c r="C441" t="s">
        <v>12</v>
      </c>
      <c r="D441" t="s">
        <v>13</v>
      </c>
      <c r="E441" t="s">
        <v>19</v>
      </c>
      <c r="F441" t="s">
        <v>26</v>
      </c>
      <c r="G441" t="s">
        <v>20</v>
      </c>
      <c r="H441" s="23">
        <v>3900.59</v>
      </c>
      <c r="I441" s="23">
        <v>803.64</v>
      </c>
      <c r="J441" s="23">
        <v>64032.73</v>
      </c>
      <c r="K441" s="23">
        <v>902.57</v>
      </c>
      <c r="L441" s="10">
        <v>1359880020</v>
      </c>
      <c r="M441" s="9">
        <v>148220784360</v>
      </c>
      <c r="N441" s="12">
        <f xml:space="preserve"> Tb_prod[[#This Row],[Costo_Mantenimiento_CLP]] / Tb_prod[[#This Row],[Dias_Operación_Mes]]</f>
        <v>50365926.666666664</v>
      </c>
      <c r="O441" s="11">
        <f>Tb_prod[[#This Row],[Costo_Operativo_CLP]] / Tb_prod[[#This Row],[Producción_Toneladas]]</f>
        <v>37999580.668565527</v>
      </c>
      <c r="P441">
        <v>69</v>
      </c>
      <c r="Q441">
        <v>27</v>
      </c>
      <c r="R441" s="6">
        <v>45767</v>
      </c>
      <c r="S441" t="str">
        <f t="shared" si="15"/>
        <v>domingo</v>
      </c>
      <c r="T441" t="str">
        <f t="shared" si="14"/>
        <v>abril</v>
      </c>
      <c r="U441">
        <v>80.459999999999994</v>
      </c>
      <c r="V441">
        <f xml:space="preserve"> Tb_prod[[#This Row],[Emisiones_CO2_ton]] / Tb_prod[[#This Row],[Cantidad_Empleados]]</f>
        <v>13.080724637681159</v>
      </c>
      <c r="W441" t="str">
        <f>IF(Tb_prod[[#This Row],[Recuperación_Metal_Porcentaje]]&gt;90,"Alta",IF(Tb_prod[[#This Row],[Recuperación_Metal_Porcentaje]]&gt;75,"Media","Baja"))</f>
        <v>Media</v>
      </c>
      <c r="X441" t="str">
        <f>IF(AND(Tb_prod[[#This Row],[Consumo_Energia_MWh]]&lt;=2000,Tb_prod[[#This Row],[Riesgo_Ambiental]]="Alto"),"Crítica","Normal")</f>
        <v>Crítica</v>
      </c>
    </row>
    <row r="442" spans="1:24">
      <c r="A442">
        <v>146</v>
      </c>
      <c r="B442" t="str">
        <f>VLOOKUP(Tb_prod[[#This Row],[Región]],AUX_REGION[],2,0)</f>
        <v>Minera del Norte</v>
      </c>
      <c r="C442" t="s">
        <v>12</v>
      </c>
      <c r="D442" t="s">
        <v>18</v>
      </c>
      <c r="E442" t="s">
        <v>19</v>
      </c>
      <c r="F442" t="s">
        <v>15</v>
      </c>
      <c r="G442" t="s">
        <v>20</v>
      </c>
      <c r="H442" s="23">
        <v>4505.13</v>
      </c>
      <c r="I442" s="23">
        <v>2716.72</v>
      </c>
      <c r="J442" s="23">
        <v>64224.44</v>
      </c>
      <c r="K442" s="23">
        <v>1050.83</v>
      </c>
      <c r="L442" s="10">
        <v>1922191020</v>
      </c>
      <c r="M442" s="9">
        <v>1515649906620</v>
      </c>
      <c r="N442" s="12">
        <f xml:space="preserve"> Tb_prod[[#This Row],[Costo_Mantenimiento_CLP]] / Tb_prod[[#This Row],[Dias_Operación_Mes]]</f>
        <v>64073034</v>
      </c>
      <c r="O442" s="11">
        <f>Tb_prod[[#This Row],[Costo_Operativo_CLP]] / Tb_prod[[#This Row],[Producción_Toneladas]]</f>
        <v>336427562.93825036</v>
      </c>
      <c r="P442">
        <v>126</v>
      </c>
      <c r="Q442">
        <v>30</v>
      </c>
      <c r="R442" s="6">
        <v>45568</v>
      </c>
      <c r="S442" t="str">
        <f t="shared" si="15"/>
        <v>jueves</v>
      </c>
      <c r="T442" t="str">
        <f t="shared" si="14"/>
        <v>octubre</v>
      </c>
      <c r="U442">
        <v>94.52</v>
      </c>
      <c r="V442">
        <f xml:space="preserve"> Tb_prod[[#This Row],[Emisiones_CO2_ton]] / Tb_prod[[#This Row],[Cantidad_Empleados]]</f>
        <v>8.3399206349206345</v>
      </c>
      <c r="W442" t="str">
        <f>IF(Tb_prod[[#This Row],[Recuperación_Metal_Porcentaje]]&gt;90,"Alta",IF(Tb_prod[[#This Row],[Recuperación_Metal_Porcentaje]]&gt;75,"Media","Baja"))</f>
        <v>Alta</v>
      </c>
      <c r="X442" t="str">
        <f>IF(AND(Tb_prod[[#This Row],[Consumo_Energia_MWh]]&lt;=2000,Tb_prod[[#This Row],[Riesgo_Ambiental]]="Alto"),"Crítica","Normal")</f>
        <v>Normal</v>
      </c>
    </row>
    <row r="443" spans="1:24">
      <c r="A443">
        <v>107</v>
      </c>
      <c r="B443" t="str">
        <f>VLOOKUP(Tb_prod[[#This Row],[Región]],AUX_REGION[],2,0)</f>
        <v>Minera del Norte</v>
      </c>
      <c r="C443" t="s">
        <v>21</v>
      </c>
      <c r="D443" t="s">
        <v>18</v>
      </c>
      <c r="E443" t="s">
        <v>14</v>
      </c>
      <c r="F443" t="s">
        <v>24</v>
      </c>
      <c r="G443" t="s">
        <v>20</v>
      </c>
      <c r="H443" s="23">
        <v>4728.51</v>
      </c>
      <c r="I443" s="23">
        <v>2249.7399999999998</v>
      </c>
      <c r="J443" s="23">
        <v>64329.919999999998</v>
      </c>
      <c r="K443" s="23">
        <v>832.3</v>
      </c>
      <c r="L443" s="10">
        <v>29538970830</v>
      </c>
      <c r="M443" s="9">
        <v>111665041560</v>
      </c>
      <c r="N443" s="12">
        <f xml:space="preserve"> Tb_prod[[#This Row],[Costo_Mantenimiento_CLP]] / Tb_prod[[#This Row],[Dias_Operación_Mes]]</f>
        <v>1406617658.5714285</v>
      </c>
      <c r="O443" s="11">
        <f>Tb_prod[[#This Row],[Costo_Operativo_CLP]] / Tb_prod[[#This Row],[Producción_Toneladas]]</f>
        <v>23615270.256380972</v>
      </c>
      <c r="P443">
        <v>194</v>
      </c>
      <c r="Q443">
        <v>21</v>
      </c>
      <c r="R443" s="6">
        <v>45797</v>
      </c>
      <c r="S443" t="str">
        <f t="shared" si="15"/>
        <v>martes</v>
      </c>
      <c r="T443" t="str">
        <f t="shared" si="14"/>
        <v>mayo</v>
      </c>
      <c r="U443">
        <v>84.12</v>
      </c>
      <c r="V443">
        <f xml:space="preserve"> Tb_prod[[#This Row],[Emisiones_CO2_ton]] / Tb_prod[[#This Row],[Cantidad_Empleados]]</f>
        <v>4.2902061855670102</v>
      </c>
      <c r="W443" t="str">
        <f>IF(Tb_prod[[#This Row],[Recuperación_Metal_Porcentaje]]&gt;90,"Alta",IF(Tb_prod[[#This Row],[Recuperación_Metal_Porcentaje]]&gt;75,"Media","Baja"))</f>
        <v>Media</v>
      </c>
      <c r="X443" t="str">
        <f>IF(AND(Tb_prod[[#This Row],[Consumo_Energia_MWh]]&lt;=2000,Tb_prod[[#This Row],[Riesgo_Ambiental]]="Alto"),"Crítica","Normal")</f>
        <v>Normal</v>
      </c>
    </row>
    <row r="444" spans="1:24">
      <c r="A444">
        <v>22</v>
      </c>
      <c r="B444" t="str">
        <f>VLOOKUP(Tb_prod[[#This Row],[Región]],AUX_REGION[],2,0)</f>
        <v>Minera Romero</v>
      </c>
      <c r="C444" t="s">
        <v>17</v>
      </c>
      <c r="D444" t="s">
        <v>23</v>
      </c>
      <c r="E444" t="s">
        <v>19</v>
      </c>
      <c r="F444" t="s">
        <v>24</v>
      </c>
      <c r="G444" t="s">
        <v>16</v>
      </c>
      <c r="H444" s="23">
        <v>6395.38</v>
      </c>
      <c r="I444" s="23">
        <v>1755.31</v>
      </c>
      <c r="J444" s="23">
        <v>64540.69</v>
      </c>
      <c r="K444" s="23">
        <v>887.15</v>
      </c>
      <c r="L444" s="10">
        <v>8199560880</v>
      </c>
      <c r="M444" s="9">
        <v>100370291670</v>
      </c>
      <c r="N444" s="12">
        <f xml:space="preserve"> Tb_prod[[#This Row],[Costo_Mantenimiento_CLP]] / Tb_prod[[#This Row],[Dias_Operación_Mes]]</f>
        <v>372707312.72727275</v>
      </c>
      <c r="O444" s="11">
        <f>Tb_prod[[#This Row],[Costo_Operativo_CLP]] / Tb_prod[[#This Row],[Producción_Toneladas]]</f>
        <v>15694187.314905448</v>
      </c>
      <c r="P444">
        <v>143</v>
      </c>
      <c r="Q444">
        <v>22</v>
      </c>
      <c r="R444" s="6">
        <v>45656</v>
      </c>
      <c r="S444" t="str">
        <f t="shared" ref="S444:S475" si="16">TEXT(R444,"dddd")</f>
        <v>lunes</v>
      </c>
      <c r="T444" t="str">
        <f t="shared" si="14"/>
        <v>diciembre</v>
      </c>
      <c r="U444">
        <v>70.540000000000006</v>
      </c>
      <c r="V444">
        <f xml:space="preserve"> Tb_prod[[#This Row],[Emisiones_CO2_ton]] / Tb_prod[[#This Row],[Cantidad_Empleados]]</f>
        <v>6.203846153846154</v>
      </c>
      <c r="W444" t="str">
        <f>IF(Tb_prod[[#This Row],[Recuperación_Metal_Porcentaje]]&gt;90,"Alta",IF(Tb_prod[[#This Row],[Recuperación_Metal_Porcentaje]]&gt;75,"Media","Baja"))</f>
        <v>Baja</v>
      </c>
      <c r="X444" t="str">
        <f>IF(AND(Tb_prod[[#This Row],[Consumo_Energia_MWh]]&lt;=2000,Tb_prod[[#This Row],[Riesgo_Ambiental]]="Alto"),"Crítica","Normal")</f>
        <v>Normal</v>
      </c>
    </row>
    <row r="445" spans="1:24">
      <c r="A445">
        <v>458</v>
      </c>
      <c r="B445" t="str">
        <f>VLOOKUP(Tb_prod[[#This Row],[Región]],AUX_REGION[],2,0)</f>
        <v>Minera Staff</v>
      </c>
      <c r="C445" t="s">
        <v>21</v>
      </c>
      <c r="D445" t="s">
        <v>13</v>
      </c>
      <c r="E445" t="s">
        <v>14</v>
      </c>
      <c r="F445" t="s">
        <v>24</v>
      </c>
      <c r="G445" t="s">
        <v>22</v>
      </c>
      <c r="H445" s="23">
        <v>6639.91</v>
      </c>
      <c r="I445" s="23">
        <v>2847.03</v>
      </c>
      <c r="J445" s="23">
        <v>64607.48</v>
      </c>
      <c r="K445" s="23">
        <v>592.66</v>
      </c>
      <c r="L445" s="10">
        <v>15804520380</v>
      </c>
      <c r="M445" s="9">
        <v>41164587000</v>
      </c>
      <c r="N445" s="12">
        <f xml:space="preserve"> Tb_prod[[#This Row],[Costo_Mantenimiento_CLP]] / Tb_prod[[#This Row],[Dias_Operación_Mes]]</f>
        <v>658521682.5</v>
      </c>
      <c r="O445" s="11">
        <f>Tb_prod[[#This Row],[Costo_Operativo_CLP]] / Tb_prod[[#This Row],[Producción_Toneladas]]</f>
        <v>6199570.0242924979</v>
      </c>
      <c r="P445">
        <v>59</v>
      </c>
      <c r="Q445">
        <v>24</v>
      </c>
      <c r="R445" s="6">
        <v>45437</v>
      </c>
      <c r="S445" t="str">
        <f t="shared" si="16"/>
        <v>sábado</v>
      </c>
      <c r="T445" t="str">
        <f t="shared" si="14"/>
        <v>mayo</v>
      </c>
      <c r="U445">
        <v>86.15</v>
      </c>
      <c r="V445">
        <f xml:space="preserve"> Tb_prod[[#This Row],[Emisiones_CO2_ton]] / Tb_prod[[#This Row],[Cantidad_Empleados]]</f>
        <v>10.045084745762711</v>
      </c>
      <c r="W445" t="str">
        <f>IF(Tb_prod[[#This Row],[Recuperación_Metal_Porcentaje]]&gt;90,"Alta",IF(Tb_prod[[#This Row],[Recuperación_Metal_Porcentaje]]&gt;75,"Media","Baja"))</f>
        <v>Media</v>
      </c>
      <c r="X445" t="str">
        <f>IF(AND(Tb_prod[[#This Row],[Consumo_Energia_MWh]]&lt;=2000,Tb_prod[[#This Row],[Riesgo_Ambiental]]="Alto"),"Crítica","Normal")</f>
        <v>Normal</v>
      </c>
    </row>
    <row r="446" spans="1:24">
      <c r="A446">
        <v>158</v>
      </c>
      <c r="B446" t="str">
        <f>VLOOKUP(Tb_prod[[#This Row],[Región]],AUX_REGION[],2,0)</f>
        <v>Minera Romero</v>
      </c>
      <c r="C446" t="s">
        <v>17</v>
      </c>
      <c r="D446" t="s">
        <v>23</v>
      </c>
      <c r="E446" t="s">
        <v>19</v>
      </c>
      <c r="F446" t="s">
        <v>24</v>
      </c>
      <c r="G446" t="s">
        <v>16</v>
      </c>
      <c r="H446" s="23">
        <v>7866.21</v>
      </c>
      <c r="I446" s="23">
        <v>2344.59</v>
      </c>
      <c r="J446" s="23">
        <v>64766.73</v>
      </c>
      <c r="K446" s="23">
        <v>1216.78</v>
      </c>
      <c r="L446" s="10">
        <v>27022174470</v>
      </c>
      <c r="M446" s="9">
        <v>26242384140</v>
      </c>
      <c r="N446" s="12">
        <f xml:space="preserve"> Tb_prod[[#This Row],[Costo_Mantenimiento_CLP]] / Tb_prod[[#This Row],[Dias_Operación_Mes]]</f>
        <v>1000821276.6666666</v>
      </c>
      <c r="O446" s="11">
        <f>Tb_prod[[#This Row],[Costo_Operativo_CLP]] / Tb_prod[[#This Row],[Producción_Toneladas]]</f>
        <v>3336089.9518319494</v>
      </c>
      <c r="P446">
        <v>97</v>
      </c>
      <c r="Q446">
        <v>27</v>
      </c>
      <c r="R446" s="6">
        <v>46003</v>
      </c>
      <c r="S446" t="str">
        <f t="shared" si="16"/>
        <v>viernes</v>
      </c>
      <c r="T446" t="str">
        <f t="shared" si="14"/>
        <v>diciembre</v>
      </c>
      <c r="U446">
        <v>81.83</v>
      </c>
      <c r="V446">
        <f xml:space="preserve"> Tb_prod[[#This Row],[Emisiones_CO2_ton]] / Tb_prod[[#This Row],[Cantidad_Empleados]]</f>
        <v>12.544123711340205</v>
      </c>
      <c r="W446" t="str">
        <f>IF(Tb_prod[[#This Row],[Recuperación_Metal_Porcentaje]]&gt;90,"Alta",IF(Tb_prod[[#This Row],[Recuperación_Metal_Porcentaje]]&gt;75,"Media","Baja"))</f>
        <v>Media</v>
      </c>
      <c r="X446" t="str">
        <f>IF(AND(Tb_prod[[#This Row],[Consumo_Energia_MWh]]&lt;=2000,Tb_prod[[#This Row],[Riesgo_Ambiental]]="Alto"),"Crítica","Normal")</f>
        <v>Normal</v>
      </c>
    </row>
    <row r="447" spans="1:24">
      <c r="A447">
        <v>129</v>
      </c>
      <c r="B447" t="str">
        <f>VLOOKUP(Tb_prod[[#This Row],[Región]],AUX_REGION[],2,0)</f>
        <v>Minera Staff</v>
      </c>
      <c r="C447" t="s">
        <v>17</v>
      </c>
      <c r="D447" t="s">
        <v>13</v>
      </c>
      <c r="E447" t="s">
        <v>19</v>
      </c>
      <c r="F447" t="s">
        <v>24</v>
      </c>
      <c r="G447" t="s">
        <v>20</v>
      </c>
      <c r="H447" s="23">
        <v>3246.66</v>
      </c>
      <c r="I447" s="23">
        <v>1988.99</v>
      </c>
      <c r="J447" s="23">
        <v>64798.58</v>
      </c>
      <c r="K447" s="23">
        <v>754.78</v>
      </c>
      <c r="L447" s="10">
        <v>1370395322938.8899</v>
      </c>
      <c r="M447" s="9">
        <v>36394507170</v>
      </c>
      <c r="N447" s="12">
        <f xml:space="preserve"> Tb_prod[[#This Row],[Costo_Mantenimiento_CLP]] / Tb_prod[[#This Row],[Dias_Operación_Mes]]</f>
        <v>59582405345.169128</v>
      </c>
      <c r="O447" s="11">
        <f>Tb_prod[[#This Row],[Costo_Operativo_CLP]] / Tb_prod[[#This Row],[Producción_Toneladas]]</f>
        <v>11209830.154682042</v>
      </c>
      <c r="P447">
        <v>192</v>
      </c>
      <c r="Q447">
        <v>23</v>
      </c>
      <c r="R447" s="6">
        <v>45722</v>
      </c>
      <c r="S447" t="str">
        <f t="shared" si="16"/>
        <v>jueves</v>
      </c>
      <c r="T447" t="str">
        <f t="shared" si="14"/>
        <v>marzo</v>
      </c>
      <c r="U447">
        <v>82.47</v>
      </c>
      <c r="V447">
        <f xml:space="preserve"> Tb_prod[[#This Row],[Emisiones_CO2_ton]] / Tb_prod[[#This Row],[Cantidad_Empleados]]</f>
        <v>3.9311458333333333</v>
      </c>
      <c r="W447" t="str">
        <f>IF(Tb_prod[[#This Row],[Recuperación_Metal_Porcentaje]]&gt;90,"Alta",IF(Tb_prod[[#This Row],[Recuperación_Metal_Porcentaje]]&gt;75,"Media","Baja"))</f>
        <v>Media</v>
      </c>
      <c r="X447" t="str">
        <f>IF(AND(Tb_prod[[#This Row],[Consumo_Energia_MWh]]&lt;=2000,Tb_prod[[#This Row],[Riesgo_Ambiental]]="Alto"),"Crítica","Normal")</f>
        <v>Crítica</v>
      </c>
    </row>
    <row r="448" spans="1:24">
      <c r="A448">
        <v>372</v>
      </c>
      <c r="B448" t="str">
        <f>VLOOKUP(Tb_prod[[#This Row],[Región]],AUX_REGION[],2,0)</f>
        <v>Minera del Norte</v>
      </c>
      <c r="C448" t="s">
        <v>12</v>
      </c>
      <c r="D448" t="s">
        <v>18</v>
      </c>
      <c r="E448" t="s">
        <v>19</v>
      </c>
      <c r="F448" t="s">
        <v>24</v>
      </c>
      <c r="G448" t="s">
        <v>22</v>
      </c>
      <c r="H448" s="23">
        <v>6041.35</v>
      </c>
      <c r="I448" s="23">
        <v>722.01</v>
      </c>
      <c r="J448" s="23">
        <v>64824.18</v>
      </c>
      <c r="K448" s="23">
        <v>1318.24</v>
      </c>
      <c r="L448" s="10">
        <v>8582195160</v>
      </c>
      <c r="M448" s="9">
        <v>125492932260</v>
      </c>
      <c r="N448" s="12">
        <f xml:space="preserve"> Tb_prod[[#This Row],[Costo_Mantenimiento_CLP]] / Tb_prod[[#This Row],[Dias_Operación_Mes]]</f>
        <v>408675960</v>
      </c>
      <c r="O448" s="11">
        <f>Tb_prod[[#This Row],[Costo_Operativo_CLP]] / Tb_prod[[#This Row],[Producción_Toneladas]]</f>
        <v>20772332.717025168</v>
      </c>
      <c r="P448">
        <v>164</v>
      </c>
      <c r="Q448">
        <v>21</v>
      </c>
      <c r="R448" s="6">
        <v>45748</v>
      </c>
      <c r="S448" t="str">
        <f t="shared" si="16"/>
        <v>martes</v>
      </c>
      <c r="T448" t="str">
        <f t="shared" si="14"/>
        <v>abril</v>
      </c>
      <c r="U448">
        <v>95.77</v>
      </c>
      <c r="V448">
        <f xml:space="preserve"> Tb_prod[[#This Row],[Emisiones_CO2_ton]] / Tb_prod[[#This Row],[Cantidad_Empleados]]</f>
        <v>8.0380487804878058</v>
      </c>
      <c r="W448" t="str">
        <f>IF(Tb_prod[[#This Row],[Recuperación_Metal_Porcentaje]]&gt;90,"Alta",IF(Tb_prod[[#This Row],[Recuperación_Metal_Porcentaje]]&gt;75,"Media","Baja"))</f>
        <v>Alta</v>
      </c>
      <c r="X448" t="str">
        <f>IF(AND(Tb_prod[[#This Row],[Consumo_Energia_MWh]]&lt;=2000,Tb_prod[[#This Row],[Riesgo_Ambiental]]="Alto"),"Crítica","Normal")</f>
        <v>Normal</v>
      </c>
    </row>
    <row r="449" spans="1:24">
      <c r="A449">
        <v>105</v>
      </c>
      <c r="B449" t="str">
        <f>VLOOKUP(Tb_prod[[#This Row],[Región]],AUX_REGION[],2,0)</f>
        <v>Minera Staff</v>
      </c>
      <c r="C449" t="s">
        <v>27</v>
      </c>
      <c r="D449" t="s">
        <v>13</v>
      </c>
      <c r="E449" t="s">
        <v>19</v>
      </c>
      <c r="F449" t="s">
        <v>15</v>
      </c>
      <c r="G449" t="s">
        <v>20</v>
      </c>
      <c r="H449" s="23">
        <v>1631.5</v>
      </c>
      <c r="I449" s="23">
        <v>1080.3599999999999</v>
      </c>
      <c r="J449" s="23">
        <v>64934.36</v>
      </c>
      <c r="K449" s="23">
        <v>849.08</v>
      </c>
      <c r="L449" s="10">
        <v>33173663130</v>
      </c>
      <c r="M449" s="9">
        <v>175279092030</v>
      </c>
      <c r="N449" s="12">
        <f xml:space="preserve"> Tb_prod[[#This Row],[Costo_Mantenimiento_CLP]] / Tb_prod[[#This Row],[Dias_Operación_Mes]]</f>
        <v>1275910120.3846154</v>
      </c>
      <c r="O449" s="11">
        <f>Tb_prod[[#This Row],[Costo_Operativo_CLP]] / Tb_prod[[#This Row],[Producción_Toneladas]]</f>
        <v>107434319.35642047</v>
      </c>
      <c r="P449">
        <v>239</v>
      </c>
      <c r="Q449">
        <v>26</v>
      </c>
      <c r="R449" s="6">
        <v>45693</v>
      </c>
      <c r="S449" t="str">
        <f t="shared" si="16"/>
        <v>miércoles</v>
      </c>
      <c r="T449" t="str">
        <f t="shared" si="14"/>
        <v>febrero</v>
      </c>
      <c r="U449">
        <v>94.12</v>
      </c>
      <c r="V449">
        <f xml:space="preserve"> Tb_prod[[#This Row],[Emisiones_CO2_ton]] / Tb_prod[[#This Row],[Cantidad_Empleados]]</f>
        <v>3.5526359832635985</v>
      </c>
      <c r="W449" t="str">
        <f>IF(Tb_prod[[#This Row],[Recuperación_Metal_Porcentaje]]&gt;90,"Alta",IF(Tb_prod[[#This Row],[Recuperación_Metal_Porcentaje]]&gt;75,"Media","Baja"))</f>
        <v>Alta</v>
      </c>
      <c r="X449" t="str">
        <f>IF(AND(Tb_prod[[#This Row],[Consumo_Energia_MWh]]&lt;=2000,Tb_prod[[#This Row],[Riesgo_Ambiental]]="Alto"),"Crítica","Normal")</f>
        <v>Crítica</v>
      </c>
    </row>
    <row r="450" spans="1:24">
      <c r="A450">
        <v>162</v>
      </c>
      <c r="B450" t="str">
        <f>VLOOKUP(Tb_prod[[#This Row],[Región]],AUX_REGION[],2,0)</f>
        <v>Minera Staff</v>
      </c>
      <c r="C450" t="s">
        <v>27</v>
      </c>
      <c r="D450" t="s">
        <v>13</v>
      </c>
      <c r="E450" t="s">
        <v>19</v>
      </c>
      <c r="F450" t="s">
        <v>26</v>
      </c>
      <c r="G450" t="s">
        <v>16</v>
      </c>
      <c r="H450" s="23">
        <v>4747.17</v>
      </c>
      <c r="I450" s="23">
        <v>1359.79</v>
      </c>
      <c r="J450" s="23">
        <v>64935.83</v>
      </c>
      <c r="K450" s="23">
        <v>1209.28</v>
      </c>
      <c r="L450" s="10">
        <v>24892576470</v>
      </c>
      <c r="M450" s="9">
        <v>144185407650</v>
      </c>
      <c r="N450" s="12">
        <f xml:space="preserve"> Tb_prod[[#This Row],[Costo_Mantenimiento_CLP]] / Tb_prod[[#This Row],[Dias_Operación_Mes]]</f>
        <v>957406787.30769229</v>
      </c>
      <c r="O450" s="11">
        <f>Tb_prod[[#This Row],[Costo_Operativo_CLP]] / Tb_prod[[#This Row],[Producción_Toneladas]]</f>
        <v>30372918.528302126</v>
      </c>
      <c r="P450">
        <v>88</v>
      </c>
      <c r="Q450">
        <v>26</v>
      </c>
      <c r="R450" s="6">
        <v>45656</v>
      </c>
      <c r="S450" t="str">
        <f t="shared" si="16"/>
        <v>lunes</v>
      </c>
      <c r="T450" t="str">
        <f t="shared" ref="T450:T501" si="17">TEXT(R450,"mmmm")</f>
        <v>diciembre</v>
      </c>
      <c r="U450">
        <v>70.91</v>
      </c>
      <c r="V450">
        <f xml:space="preserve"> Tb_prod[[#This Row],[Emisiones_CO2_ton]] / Tb_prod[[#This Row],[Cantidad_Empleados]]</f>
        <v>13.741818181818182</v>
      </c>
      <c r="W450" t="str">
        <f>IF(Tb_prod[[#This Row],[Recuperación_Metal_Porcentaje]]&gt;90,"Alta",IF(Tb_prod[[#This Row],[Recuperación_Metal_Porcentaje]]&gt;75,"Media","Baja"))</f>
        <v>Baja</v>
      </c>
      <c r="X450" t="str">
        <f>IF(AND(Tb_prod[[#This Row],[Consumo_Energia_MWh]]&lt;=2000,Tb_prod[[#This Row],[Riesgo_Ambiental]]="Alto"),"Crítica","Normal")</f>
        <v>Normal</v>
      </c>
    </row>
    <row r="451" spans="1:24">
      <c r="A451">
        <v>438</v>
      </c>
      <c r="B451" t="str">
        <f>VLOOKUP(Tb_prod[[#This Row],[Región]],AUX_REGION[],2,0)</f>
        <v>Minera Staff</v>
      </c>
      <c r="C451" t="s">
        <v>21</v>
      </c>
      <c r="D451" t="s">
        <v>13</v>
      </c>
      <c r="E451" t="s">
        <v>14</v>
      </c>
      <c r="F451" t="s">
        <v>24</v>
      </c>
      <c r="G451" t="s">
        <v>16</v>
      </c>
      <c r="H451" s="23">
        <v>5619.58</v>
      </c>
      <c r="I451" s="23">
        <v>1643.49</v>
      </c>
      <c r="J451" s="23">
        <v>65028.41</v>
      </c>
      <c r="K451" s="23">
        <v>879.78</v>
      </c>
      <c r="L451" s="10">
        <v>32460862140</v>
      </c>
      <c r="M451" s="9">
        <v>52073591220</v>
      </c>
      <c r="N451" s="12">
        <f xml:space="preserve"> Tb_prod[[#This Row],[Costo_Mantenimiento_CLP]] / Tb_prod[[#This Row],[Dias_Operación_Mes]]</f>
        <v>1545755340</v>
      </c>
      <c r="O451" s="11">
        <f>Tb_prod[[#This Row],[Costo_Operativo_CLP]] / Tb_prod[[#This Row],[Producción_Toneladas]]</f>
        <v>9266456.0732296724</v>
      </c>
      <c r="P451">
        <v>193</v>
      </c>
      <c r="Q451">
        <v>21</v>
      </c>
      <c r="R451" s="6">
        <v>45992</v>
      </c>
      <c r="S451" t="str">
        <f t="shared" si="16"/>
        <v>lunes</v>
      </c>
      <c r="T451" t="str">
        <f t="shared" si="17"/>
        <v>diciembre</v>
      </c>
      <c r="U451">
        <v>84.59</v>
      </c>
      <c r="V451">
        <f xml:space="preserve"> Tb_prod[[#This Row],[Emisiones_CO2_ton]] / Tb_prod[[#This Row],[Cantidad_Empleados]]</f>
        <v>4.5584455958549217</v>
      </c>
      <c r="W451" t="str">
        <f>IF(Tb_prod[[#This Row],[Recuperación_Metal_Porcentaje]]&gt;90,"Alta",IF(Tb_prod[[#This Row],[Recuperación_Metal_Porcentaje]]&gt;75,"Media","Baja"))</f>
        <v>Media</v>
      </c>
      <c r="X451" t="str">
        <f>IF(AND(Tb_prod[[#This Row],[Consumo_Energia_MWh]]&lt;=2000,Tb_prod[[#This Row],[Riesgo_Ambiental]]="Alto"),"Crítica","Normal")</f>
        <v>Normal</v>
      </c>
    </row>
    <row r="452" spans="1:24">
      <c r="A452">
        <v>230</v>
      </c>
      <c r="B452" t="str">
        <f>VLOOKUP(Tb_prod[[#This Row],[Región]],AUX_REGION[],2,0)</f>
        <v>Minera Romero</v>
      </c>
      <c r="C452" t="s">
        <v>12</v>
      </c>
      <c r="D452" t="s">
        <v>23</v>
      </c>
      <c r="E452" t="s">
        <v>14</v>
      </c>
      <c r="F452" t="s">
        <v>24</v>
      </c>
      <c r="G452" t="s">
        <v>20</v>
      </c>
      <c r="H452" s="23">
        <v>7074.72</v>
      </c>
      <c r="I452" s="23">
        <v>2285.17</v>
      </c>
      <c r="J452" s="23">
        <v>65211.67</v>
      </c>
      <c r="K452" s="23">
        <v>1046.6600000000001</v>
      </c>
      <c r="L452" s="10">
        <v>14518662390</v>
      </c>
      <c r="M452" s="9">
        <v>79500392460</v>
      </c>
      <c r="N452" s="12">
        <f xml:space="preserve"> Tb_prod[[#This Row],[Costo_Mantenimiento_CLP]] / Tb_prod[[#This Row],[Dias_Operación_Mes]]</f>
        <v>631246190.86956525</v>
      </c>
      <c r="O452" s="11">
        <f>Tb_prod[[#This Row],[Costo_Operativo_CLP]] / Tb_prod[[#This Row],[Producción_Toneladas]]</f>
        <v>11237249.313047018</v>
      </c>
      <c r="P452">
        <v>80</v>
      </c>
      <c r="Q452">
        <v>23</v>
      </c>
      <c r="R452" s="6">
        <v>45152</v>
      </c>
      <c r="S452" t="str">
        <f t="shared" si="16"/>
        <v>lunes</v>
      </c>
      <c r="T452" t="str">
        <f t="shared" si="17"/>
        <v>agosto</v>
      </c>
      <c r="U452">
        <v>70.02</v>
      </c>
      <c r="V452">
        <f xml:space="preserve"> Tb_prod[[#This Row],[Emisiones_CO2_ton]] / Tb_prod[[#This Row],[Cantidad_Empleados]]</f>
        <v>13.083250000000001</v>
      </c>
      <c r="W452" t="str">
        <f>IF(Tb_prod[[#This Row],[Recuperación_Metal_Porcentaje]]&gt;90,"Alta",IF(Tb_prod[[#This Row],[Recuperación_Metal_Porcentaje]]&gt;75,"Media","Baja"))</f>
        <v>Baja</v>
      </c>
      <c r="X452" t="str">
        <f>IF(AND(Tb_prod[[#This Row],[Consumo_Energia_MWh]]&lt;=2000,Tb_prod[[#This Row],[Riesgo_Ambiental]]="Alto"),"Crítica","Normal")</f>
        <v>Normal</v>
      </c>
    </row>
    <row r="453" spans="1:24">
      <c r="A453">
        <v>121</v>
      </c>
      <c r="B453" t="str">
        <f>VLOOKUP(Tb_prod[[#This Row],[Región]],AUX_REGION[],2,0)</f>
        <v>Minera del Norte</v>
      </c>
      <c r="C453" t="s">
        <v>25</v>
      </c>
      <c r="D453" t="s">
        <v>18</v>
      </c>
      <c r="E453" t="s">
        <v>14</v>
      </c>
      <c r="F453" t="s">
        <v>26</v>
      </c>
      <c r="G453" t="s">
        <v>22</v>
      </c>
      <c r="H453" s="23">
        <v>6655.57</v>
      </c>
      <c r="I453" s="23">
        <v>2296.7600000000002</v>
      </c>
      <c r="J453" s="23">
        <v>65343.49</v>
      </c>
      <c r="K453" s="23">
        <v>1028.8800000000001</v>
      </c>
      <c r="L453" s="10">
        <v>5828567400</v>
      </c>
      <c r="M453" s="9">
        <v>128871544680</v>
      </c>
      <c r="N453" s="12">
        <f xml:space="preserve"> Tb_prod[[#This Row],[Costo_Mantenimiento_CLP]] / Tb_prod[[#This Row],[Dias_Operación_Mes]]</f>
        <v>224175669.23076922</v>
      </c>
      <c r="O453" s="11">
        <f>Tb_prod[[#This Row],[Costo_Operativo_CLP]] / Tb_prod[[#This Row],[Producción_Toneladas]]</f>
        <v>19362961.35116902</v>
      </c>
      <c r="P453">
        <v>190</v>
      </c>
      <c r="Q453">
        <v>26</v>
      </c>
      <c r="R453" s="6">
        <v>45467</v>
      </c>
      <c r="S453" t="str">
        <f t="shared" si="16"/>
        <v>lunes</v>
      </c>
      <c r="T453" t="str">
        <f t="shared" si="17"/>
        <v>junio</v>
      </c>
      <c r="U453">
        <v>97.05</v>
      </c>
      <c r="V453">
        <f xml:space="preserve"> Tb_prod[[#This Row],[Emisiones_CO2_ton]] / Tb_prod[[#This Row],[Cantidad_Empleados]]</f>
        <v>5.4151578947368426</v>
      </c>
      <c r="W453" t="str">
        <f>IF(Tb_prod[[#This Row],[Recuperación_Metal_Porcentaje]]&gt;90,"Alta",IF(Tb_prod[[#This Row],[Recuperación_Metal_Porcentaje]]&gt;75,"Media","Baja"))</f>
        <v>Alta</v>
      </c>
      <c r="X453" t="str">
        <f>IF(AND(Tb_prod[[#This Row],[Consumo_Energia_MWh]]&lt;=2000,Tb_prod[[#This Row],[Riesgo_Ambiental]]="Alto"),"Crítica","Normal")</f>
        <v>Normal</v>
      </c>
    </row>
    <row r="454" spans="1:24">
      <c r="A454">
        <v>188</v>
      </c>
      <c r="B454" t="str">
        <f>VLOOKUP(Tb_prod[[#This Row],[Región]],AUX_REGION[],2,0)</f>
        <v>Minera del Norte</v>
      </c>
      <c r="C454" t="s">
        <v>27</v>
      </c>
      <c r="D454" t="s">
        <v>18</v>
      </c>
      <c r="E454" t="s">
        <v>19</v>
      </c>
      <c r="F454" t="s">
        <v>24</v>
      </c>
      <c r="G454" t="s">
        <v>22</v>
      </c>
      <c r="H454" s="23">
        <v>2515.38</v>
      </c>
      <c r="I454" s="23">
        <v>1520.36</v>
      </c>
      <c r="J454" s="23">
        <v>65641.2</v>
      </c>
      <c r="K454" s="23">
        <v>792.18</v>
      </c>
      <c r="L454" s="10">
        <v>11835152100</v>
      </c>
      <c r="M454" s="9">
        <v>76281057900</v>
      </c>
      <c r="N454" s="12">
        <f xml:space="preserve"> Tb_prod[[#This Row],[Costo_Mantenimiento_CLP]] / Tb_prod[[#This Row],[Dias_Operación_Mes]]</f>
        <v>493131337.5</v>
      </c>
      <c r="O454" s="11">
        <f>Tb_prod[[#This Row],[Costo_Operativo_CLP]] / Tb_prod[[#This Row],[Producción_Toneladas]]</f>
        <v>30325858.478639409</v>
      </c>
      <c r="P454">
        <v>209</v>
      </c>
      <c r="Q454">
        <v>24</v>
      </c>
      <c r="R454" s="6">
        <v>44928</v>
      </c>
      <c r="S454" t="str">
        <f t="shared" si="16"/>
        <v>lunes</v>
      </c>
      <c r="T454" t="str">
        <f t="shared" si="17"/>
        <v>enero</v>
      </c>
      <c r="U454">
        <v>77.930000000000007</v>
      </c>
      <c r="V454">
        <f xml:space="preserve"> Tb_prod[[#This Row],[Emisiones_CO2_ton]] / Tb_prod[[#This Row],[Cantidad_Empleados]]</f>
        <v>3.7903349282296648</v>
      </c>
      <c r="W454" t="str">
        <f>IF(Tb_prod[[#This Row],[Recuperación_Metal_Porcentaje]]&gt;90,"Alta",IF(Tb_prod[[#This Row],[Recuperación_Metal_Porcentaje]]&gt;75,"Media","Baja"))</f>
        <v>Media</v>
      </c>
      <c r="X454" t="str">
        <f>IF(AND(Tb_prod[[#This Row],[Consumo_Energia_MWh]]&lt;=2000,Tb_prod[[#This Row],[Riesgo_Ambiental]]="Alto"),"Crítica","Normal")</f>
        <v>Normal</v>
      </c>
    </row>
    <row r="455" spans="1:24">
      <c r="A455">
        <v>478</v>
      </c>
      <c r="B455" t="str">
        <f>VLOOKUP(Tb_prod[[#This Row],[Región]],AUX_REGION[],2,0)</f>
        <v>Minera Romero</v>
      </c>
      <c r="C455" t="s">
        <v>27</v>
      </c>
      <c r="D455" t="s">
        <v>23</v>
      </c>
      <c r="E455" t="s">
        <v>19</v>
      </c>
      <c r="F455" t="s">
        <v>15</v>
      </c>
      <c r="G455" t="s">
        <v>22</v>
      </c>
      <c r="H455" s="23">
        <v>6302.15</v>
      </c>
      <c r="I455" s="23">
        <v>2089.25</v>
      </c>
      <c r="J455" s="23">
        <v>65753.279999999999</v>
      </c>
      <c r="K455" s="23">
        <v>619.6</v>
      </c>
      <c r="L455" s="10">
        <v>12528225630</v>
      </c>
      <c r="M455" s="9">
        <v>122015582100</v>
      </c>
      <c r="N455" s="12">
        <f xml:space="preserve"> Tb_prod[[#This Row],[Costo_Mantenimiento_CLP]] / Tb_prod[[#This Row],[Dias_Operación_Mes]]</f>
        <v>626411281.5</v>
      </c>
      <c r="O455" s="11">
        <f>Tb_prod[[#This Row],[Costo_Operativo_CLP]] / Tb_prod[[#This Row],[Producción_Toneladas]]</f>
        <v>19360945.407519657</v>
      </c>
      <c r="P455">
        <v>144</v>
      </c>
      <c r="Q455">
        <v>20</v>
      </c>
      <c r="R455" s="6">
        <v>45116</v>
      </c>
      <c r="S455" t="str">
        <f t="shared" si="16"/>
        <v>domingo</v>
      </c>
      <c r="T455" t="str">
        <f t="shared" si="17"/>
        <v>julio</v>
      </c>
      <c r="U455">
        <v>97.29</v>
      </c>
      <c r="V455">
        <f xml:space="preserve"> Tb_prod[[#This Row],[Emisiones_CO2_ton]] / Tb_prod[[#This Row],[Cantidad_Empleados]]</f>
        <v>4.302777777777778</v>
      </c>
      <c r="W455" t="str">
        <f>IF(Tb_prod[[#This Row],[Recuperación_Metal_Porcentaje]]&gt;90,"Alta",IF(Tb_prod[[#This Row],[Recuperación_Metal_Porcentaje]]&gt;75,"Media","Baja"))</f>
        <v>Alta</v>
      </c>
      <c r="X455" t="str">
        <f>IF(AND(Tb_prod[[#This Row],[Consumo_Energia_MWh]]&lt;=2000,Tb_prod[[#This Row],[Riesgo_Ambiental]]="Alto"),"Crítica","Normal")</f>
        <v>Normal</v>
      </c>
    </row>
    <row r="456" spans="1:24">
      <c r="A456">
        <v>332</v>
      </c>
      <c r="B456" t="str">
        <f>VLOOKUP(Tb_prod[[#This Row],[Región]],AUX_REGION[],2,0)</f>
        <v>Minera Staff</v>
      </c>
      <c r="C456" t="s">
        <v>25</v>
      </c>
      <c r="D456" t="s">
        <v>13</v>
      </c>
      <c r="E456" t="s">
        <v>19</v>
      </c>
      <c r="F456" t="s">
        <v>15</v>
      </c>
      <c r="G456" t="s">
        <v>16</v>
      </c>
      <c r="H456" s="23">
        <v>5943.87</v>
      </c>
      <c r="I456" s="23">
        <v>629.51</v>
      </c>
      <c r="J456" s="23">
        <v>65798.55</v>
      </c>
      <c r="K456" s="23">
        <v>1106.79</v>
      </c>
      <c r="L456" s="10">
        <v>22258647990</v>
      </c>
      <c r="M456" s="9">
        <v>77069477070</v>
      </c>
      <c r="N456" s="12">
        <f xml:space="preserve"> Tb_prod[[#This Row],[Costo_Mantenimiento_CLP]] / Tb_prod[[#This Row],[Dias_Operación_Mes]]</f>
        <v>967767303.9130435</v>
      </c>
      <c r="O456" s="11">
        <f>Tb_prod[[#This Row],[Costo_Operativo_CLP]] / Tb_prod[[#This Row],[Producción_Toneladas]]</f>
        <v>12966211.755977167</v>
      </c>
      <c r="P456">
        <v>298</v>
      </c>
      <c r="Q456">
        <v>23</v>
      </c>
      <c r="R456" s="6">
        <v>45897</v>
      </c>
      <c r="S456" t="str">
        <f t="shared" si="16"/>
        <v>jueves</v>
      </c>
      <c r="T456" t="str">
        <f t="shared" si="17"/>
        <v>agosto</v>
      </c>
      <c r="U456">
        <v>94.28</v>
      </c>
      <c r="V456">
        <f xml:space="preserve"> Tb_prod[[#This Row],[Emisiones_CO2_ton]] / Tb_prod[[#This Row],[Cantidad_Empleados]]</f>
        <v>3.7140604026845638</v>
      </c>
      <c r="W456" t="str">
        <f>IF(Tb_prod[[#This Row],[Recuperación_Metal_Porcentaje]]&gt;90,"Alta",IF(Tb_prod[[#This Row],[Recuperación_Metal_Porcentaje]]&gt;75,"Media","Baja"))</f>
        <v>Alta</v>
      </c>
      <c r="X456" t="str">
        <f>IF(AND(Tb_prod[[#This Row],[Consumo_Energia_MWh]]&lt;=2000,Tb_prod[[#This Row],[Riesgo_Ambiental]]="Alto"),"Crítica","Normal")</f>
        <v>Normal</v>
      </c>
    </row>
    <row r="457" spans="1:24">
      <c r="A457">
        <v>60</v>
      </c>
      <c r="B457" t="str">
        <f>VLOOKUP(Tb_prod[[#This Row],[Región]],AUX_REGION[],2,0)</f>
        <v>Minera del Norte</v>
      </c>
      <c r="C457" t="s">
        <v>25</v>
      </c>
      <c r="D457" t="s">
        <v>18</v>
      </c>
      <c r="E457" t="s">
        <v>14</v>
      </c>
      <c r="F457" t="s">
        <v>15</v>
      </c>
      <c r="G457" t="s">
        <v>22</v>
      </c>
      <c r="H457" s="23">
        <v>4705.6099999999997</v>
      </c>
      <c r="I457" s="23">
        <v>1368.98</v>
      </c>
      <c r="J457" s="23">
        <v>65940.69</v>
      </c>
      <c r="K457" s="23">
        <v>16.04</v>
      </c>
      <c r="L457" s="10">
        <v>23225683770</v>
      </c>
      <c r="M457" s="9">
        <v>31797882630</v>
      </c>
      <c r="N457" s="12">
        <f xml:space="preserve"> Tb_prod[[#This Row],[Costo_Mantenimiento_CLP]] / Tb_prod[[#This Row],[Dias_Operación_Mes]]</f>
        <v>800885647.24137926</v>
      </c>
      <c r="O457" s="11">
        <f>Tb_prod[[#This Row],[Costo_Operativo_CLP]] / Tb_prod[[#This Row],[Producción_Toneladas]]</f>
        <v>6757441.1457813121</v>
      </c>
      <c r="P457">
        <v>105</v>
      </c>
      <c r="Q457">
        <v>29</v>
      </c>
      <c r="R457" s="6">
        <v>45382</v>
      </c>
      <c r="S457" t="str">
        <f t="shared" si="16"/>
        <v>domingo</v>
      </c>
      <c r="T457" t="str">
        <f t="shared" si="17"/>
        <v>marzo</v>
      </c>
      <c r="U457">
        <v>75.58</v>
      </c>
      <c r="V457">
        <f xml:space="preserve"> Tb_prod[[#This Row],[Emisiones_CO2_ton]] / Tb_prod[[#This Row],[Cantidad_Empleados]]</f>
        <v>0.15276190476190477</v>
      </c>
      <c r="W457" t="str">
        <f>IF(Tb_prod[[#This Row],[Recuperación_Metal_Porcentaje]]&gt;90,"Alta",IF(Tb_prod[[#This Row],[Recuperación_Metal_Porcentaje]]&gt;75,"Media","Baja"))</f>
        <v>Media</v>
      </c>
      <c r="X457" t="str">
        <f>IF(AND(Tb_prod[[#This Row],[Consumo_Energia_MWh]]&lt;=2000,Tb_prod[[#This Row],[Riesgo_Ambiental]]="Alto"),"Crítica","Normal")</f>
        <v>Normal</v>
      </c>
    </row>
    <row r="458" spans="1:24">
      <c r="A458">
        <v>222</v>
      </c>
      <c r="B458" t="str">
        <f>VLOOKUP(Tb_prod[[#This Row],[Región]],AUX_REGION[],2,0)</f>
        <v>Minera Romero</v>
      </c>
      <c r="C458" t="s">
        <v>27</v>
      </c>
      <c r="D458" t="s">
        <v>23</v>
      </c>
      <c r="E458" t="s">
        <v>19</v>
      </c>
      <c r="F458" t="s">
        <v>26</v>
      </c>
      <c r="G458" t="s">
        <v>16</v>
      </c>
      <c r="H458" s="23">
        <v>3829.29</v>
      </c>
      <c r="I458" s="23">
        <v>672.06</v>
      </c>
      <c r="J458" s="23">
        <v>66195</v>
      </c>
      <c r="K458" s="23">
        <v>1287.3399999999999</v>
      </c>
      <c r="L458" s="10">
        <v>10080922590</v>
      </c>
      <c r="M458" s="9">
        <v>121093760070</v>
      </c>
      <c r="N458" s="12">
        <f xml:space="preserve"> Tb_prod[[#This Row],[Costo_Mantenimiento_CLP]] / Tb_prod[[#This Row],[Dias_Operación_Mes]]</f>
        <v>504046129.5</v>
      </c>
      <c r="O458" s="11">
        <f>Tb_prod[[#This Row],[Costo_Operativo_CLP]] / Tb_prod[[#This Row],[Producción_Toneladas]]</f>
        <v>31623031.964150012</v>
      </c>
      <c r="P458">
        <v>80</v>
      </c>
      <c r="Q458">
        <v>20</v>
      </c>
      <c r="R458" s="6">
        <v>45396</v>
      </c>
      <c r="S458" t="str">
        <f t="shared" si="16"/>
        <v>domingo</v>
      </c>
      <c r="T458" t="str">
        <f t="shared" si="17"/>
        <v>abril</v>
      </c>
      <c r="U458">
        <v>75.989999999999995</v>
      </c>
      <c r="V458">
        <f xml:space="preserve"> Tb_prod[[#This Row],[Emisiones_CO2_ton]] / Tb_prod[[#This Row],[Cantidad_Empleados]]</f>
        <v>16.091749999999998</v>
      </c>
      <c r="W458" t="str">
        <f>IF(Tb_prod[[#This Row],[Recuperación_Metal_Porcentaje]]&gt;90,"Alta",IF(Tb_prod[[#This Row],[Recuperación_Metal_Porcentaje]]&gt;75,"Media","Baja"))</f>
        <v>Media</v>
      </c>
      <c r="X458" t="str">
        <f>IF(AND(Tb_prod[[#This Row],[Consumo_Energia_MWh]]&lt;=2000,Tb_prod[[#This Row],[Riesgo_Ambiental]]="Alto"),"Crítica","Normal")</f>
        <v>Normal</v>
      </c>
    </row>
    <row r="459" spans="1:24">
      <c r="A459">
        <v>404</v>
      </c>
      <c r="B459" t="str">
        <f>VLOOKUP(Tb_prod[[#This Row],[Región]],AUX_REGION[],2,0)</f>
        <v>Minera Romero</v>
      </c>
      <c r="C459" t="s">
        <v>17</v>
      </c>
      <c r="D459" t="s">
        <v>23</v>
      </c>
      <c r="E459" t="s">
        <v>14</v>
      </c>
      <c r="F459" t="s">
        <v>26</v>
      </c>
      <c r="G459" t="s">
        <v>22</v>
      </c>
      <c r="H459" s="23">
        <v>6469.12</v>
      </c>
      <c r="I459" s="23">
        <v>1630.27</v>
      </c>
      <c r="J459" s="23">
        <v>66306.820000000007</v>
      </c>
      <c r="K459" s="23">
        <v>847.78</v>
      </c>
      <c r="L459" s="10">
        <v>21283874460</v>
      </c>
      <c r="M459" s="9">
        <v>53073742500</v>
      </c>
      <c r="N459" s="12">
        <f xml:space="preserve"> Tb_prod[[#This Row],[Costo_Mantenimiento_CLP]] / Tb_prod[[#This Row],[Dias_Operación_Mes]]</f>
        <v>709462482</v>
      </c>
      <c r="O459" s="11">
        <f>Tb_prod[[#This Row],[Costo_Operativo_CLP]] / Tb_prod[[#This Row],[Producción_Toneladas]]</f>
        <v>8204167.2592253666</v>
      </c>
      <c r="P459">
        <v>101</v>
      </c>
      <c r="Q459">
        <v>30</v>
      </c>
      <c r="R459" s="6">
        <v>45904</v>
      </c>
      <c r="S459" t="str">
        <f t="shared" si="16"/>
        <v>jueves</v>
      </c>
      <c r="T459" t="str">
        <f t="shared" si="17"/>
        <v>septiembre</v>
      </c>
      <c r="U459">
        <v>74.099999999999994</v>
      </c>
      <c r="V459">
        <f xml:space="preserve"> Tb_prod[[#This Row],[Emisiones_CO2_ton]] / Tb_prod[[#This Row],[Cantidad_Empleados]]</f>
        <v>8.3938613861386138</v>
      </c>
      <c r="W459" t="str">
        <f>IF(Tb_prod[[#This Row],[Recuperación_Metal_Porcentaje]]&gt;90,"Alta",IF(Tb_prod[[#This Row],[Recuperación_Metal_Porcentaje]]&gt;75,"Media","Baja"))</f>
        <v>Baja</v>
      </c>
      <c r="X459" t="str">
        <f>IF(AND(Tb_prod[[#This Row],[Consumo_Energia_MWh]]&lt;=2000,Tb_prod[[#This Row],[Riesgo_Ambiental]]="Alto"),"Crítica","Normal")</f>
        <v>Normal</v>
      </c>
    </row>
    <row r="460" spans="1:24">
      <c r="A460">
        <v>250</v>
      </c>
      <c r="B460" t="str">
        <f>VLOOKUP(Tb_prod[[#This Row],[Región]],AUX_REGION[],2,0)</f>
        <v>Minera Romero</v>
      </c>
      <c r="C460" t="s">
        <v>21</v>
      </c>
      <c r="D460" t="s">
        <v>23</v>
      </c>
      <c r="E460" t="s">
        <v>14</v>
      </c>
      <c r="F460" t="s">
        <v>15</v>
      </c>
      <c r="G460" t="s">
        <v>22</v>
      </c>
      <c r="H460" s="23">
        <v>6581.55</v>
      </c>
      <c r="I460" s="23">
        <v>1600.09</v>
      </c>
      <c r="J460" s="23">
        <v>66318.649999999994</v>
      </c>
      <c r="K460" s="23">
        <v>680.29</v>
      </c>
      <c r="L460" s="10">
        <v>20003063400</v>
      </c>
      <c r="M460" s="9">
        <v>111931505010</v>
      </c>
      <c r="N460" s="12">
        <f xml:space="preserve"> Tb_prod[[#This Row],[Costo_Mantenimiento_CLP]] / Tb_prod[[#This Row],[Dias_Operación_Mes]]</f>
        <v>833460975</v>
      </c>
      <c r="O460" s="11">
        <f>Tb_prod[[#This Row],[Costo_Operativo_CLP]] / Tb_prod[[#This Row],[Producción_Toneladas]]</f>
        <v>17006860.847368781</v>
      </c>
      <c r="P460">
        <v>274</v>
      </c>
      <c r="Q460">
        <v>24</v>
      </c>
      <c r="R460" s="6">
        <v>45560</v>
      </c>
      <c r="S460" t="str">
        <f t="shared" si="16"/>
        <v>miércoles</v>
      </c>
      <c r="T460" t="str">
        <f t="shared" si="17"/>
        <v>septiembre</v>
      </c>
      <c r="U460">
        <v>78.38</v>
      </c>
      <c r="V460">
        <f xml:space="preserve"> Tb_prod[[#This Row],[Emisiones_CO2_ton]] / Tb_prod[[#This Row],[Cantidad_Empleados]]</f>
        <v>2.4828102189781021</v>
      </c>
      <c r="W460" t="str">
        <f>IF(Tb_prod[[#This Row],[Recuperación_Metal_Porcentaje]]&gt;90,"Alta",IF(Tb_prod[[#This Row],[Recuperación_Metal_Porcentaje]]&gt;75,"Media","Baja"))</f>
        <v>Media</v>
      </c>
      <c r="X460" t="str">
        <f>IF(AND(Tb_prod[[#This Row],[Consumo_Energia_MWh]]&lt;=2000,Tb_prod[[#This Row],[Riesgo_Ambiental]]="Alto"),"Crítica","Normal")</f>
        <v>Normal</v>
      </c>
    </row>
    <row r="461" spans="1:24">
      <c r="A461">
        <v>59</v>
      </c>
      <c r="B461" t="str">
        <f>VLOOKUP(Tb_prod[[#This Row],[Región]],AUX_REGION[],2,0)</f>
        <v>Minera del Norte</v>
      </c>
      <c r="C461" t="s">
        <v>12</v>
      </c>
      <c r="D461" t="s">
        <v>18</v>
      </c>
      <c r="E461" t="s">
        <v>14</v>
      </c>
      <c r="F461" t="s">
        <v>15</v>
      </c>
      <c r="G461" t="s">
        <v>22</v>
      </c>
      <c r="H461" s="23">
        <v>6515.21</v>
      </c>
      <c r="I461" s="23">
        <v>1963.69</v>
      </c>
      <c r="J461" s="23">
        <v>67364.13</v>
      </c>
      <c r="K461" s="23">
        <v>1387.42</v>
      </c>
      <c r="L461" s="10">
        <v>1360228370338.8899</v>
      </c>
      <c r="M461" s="9">
        <v>4796600500</v>
      </c>
      <c r="N461" s="12">
        <f xml:space="preserve"> Tb_prod[[#This Row],[Costo_Mantenimiento_CLP]] / Tb_prod[[#This Row],[Dias_Operación_Mes]]</f>
        <v>52316475782.264999</v>
      </c>
      <c r="O461" s="11">
        <f>Tb_prod[[#This Row],[Costo_Operativo_CLP]] / Tb_prod[[#This Row],[Producción_Toneladas]]</f>
        <v>736215.79350473732</v>
      </c>
      <c r="P461">
        <v>143</v>
      </c>
      <c r="Q461">
        <v>26</v>
      </c>
      <c r="R461" s="6">
        <v>45327</v>
      </c>
      <c r="S461" t="str">
        <f t="shared" si="16"/>
        <v>lunes</v>
      </c>
      <c r="T461" t="str">
        <f t="shared" si="17"/>
        <v>febrero</v>
      </c>
      <c r="U461">
        <v>97.81</v>
      </c>
      <c r="V461">
        <f xml:space="preserve"> Tb_prod[[#This Row],[Emisiones_CO2_ton]] / Tb_prod[[#This Row],[Cantidad_Empleados]]</f>
        <v>9.7022377622377629</v>
      </c>
      <c r="W461" t="str">
        <f>IF(Tb_prod[[#This Row],[Recuperación_Metal_Porcentaje]]&gt;90,"Alta",IF(Tb_prod[[#This Row],[Recuperación_Metal_Porcentaje]]&gt;75,"Media","Baja"))</f>
        <v>Alta</v>
      </c>
      <c r="X461" t="str">
        <f>IF(AND(Tb_prod[[#This Row],[Consumo_Energia_MWh]]&lt;=2000,Tb_prod[[#This Row],[Riesgo_Ambiental]]="Alto"),"Crítica","Normal")</f>
        <v>Normal</v>
      </c>
    </row>
    <row r="462" spans="1:24">
      <c r="A462">
        <v>349</v>
      </c>
      <c r="B462" t="str">
        <f>VLOOKUP(Tb_prod[[#This Row],[Región]],AUX_REGION[],2,0)</f>
        <v>Minera Staff</v>
      </c>
      <c r="C462" t="s">
        <v>25</v>
      </c>
      <c r="D462" t="s">
        <v>13</v>
      </c>
      <c r="E462" t="s">
        <v>14</v>
      </c>
      <c r="F462" t="s">
        <v>24</v>
      </c>
      <c r="G462" t="s">
        <v>22</v>
      </c>
      <c r="H462" s="23">
        <v>4312.34</v>
      </c>
      <c r="I462" s="23">
        <v>2043.43</v>
      </c>
      <c r="J462" s="23">
        <v>67759.839999999997</v>
      </c>
      <c r="K462" s="23">
        <v>1433.86</v>
      </c>
      <c r="L462" s="10">
        <v>11243957670</v>
      </c>
      <c r="M462" s="9">
        <v>1468206285060</v>
      </c>
      <c r="N462" s="12">
        <f xml:space="preserve"> Tb_prod[[#This Row],[Costo_Mantenimiento_CLP]] / Tb_prod[[#This Row],[Dias_Operación_Mes]]</f>
        <v>374798589</v>
      </c>
      <c r="O462" s="11">
        <f>Tb_prod[[#This Row],[Costo_Operativo_CLP]] / Tb_prod[[#This Row],[Producción_Toneladas]]</f>
        <v>340466263.11005163</v>
      </c>
      <c r="P462">
        <v>66</v>
      </c>
      <c r="Q462">
        <v>30</v>
      </c>
      <c r="R462" s="6">
        <v>45379</v>
      </c>
      <c r="S462" t="str">
        <f t="shared" si="16"/>
        <v>jueves</v>
      </c>
      <c r="T462" t="str">
        <f t="shared" si="17"/>
        <v>marzo</v>
      </c>
      <c r="U462">
        <v>83.67</v>
      </c>
      <c r="V462">
        <f xml:space="preserve"> Tb_prod[[#This Row],[Emisiones_CO2_ton]] / Tb_prod[[#This Row],[Cantidad_Empleados]]</f>
        <v>21.725151515151513</v>
      </c>
      <c r="W462" t="str">
        <f>IF(Tb_prod[[#This Row],[Recuperación_Metal_Porcentaje]]&gt;90,"Alta",IF(Tb_prod[[#This Row],[Recuperación_Metal_Porcentaje]]&gt;75,"Media","Baja"))</f>
        <v>Media</v>
      </c>
      <c r="X462" t="str">
        <f>IF(AND(Tb_prod[[#This Row],[Consumo_Energia_MWh]]&lt;=2000,Tb_prod[[#This Row],[Riesgo_Ambiental]]="Alto"),"Crítica","Normal")</f>
        <v>Normal</v>
      </c>
    </row>
    <row r="463" spans="1:24">
      <c r="A463">
        <v>342</v>
      </c>
      <c r="B463" t="str">
        <f>VLOOKUP(Tb_prod[[#This Row],[Región]],AUX_REGION[],2,0)</f>
        <v>Minera Romero</v>
      </c>
      <c r="C463" t="s">
        <v>12</v>
      </c>
      <c r="D463" t="s">
        <v>23</v>
      </c>
      <c r="E463" t="s">
        <v>19</v>
      </c>
      <c r="F463" t="s">
        <v>15</v>
      </c>
      <c r="G463" t="s">
        <v>22</v>
      </c>
      <c r="H463" s="23">
        <v>2488.5500000000002</v>
      </c>
      <c r="I463" s="23">
        <v>1914.98</v>
      </c>
      <c r="J463" s="23">
        <v>67944.960000000006</v>
      </c>
      <c r="K463" s="23">
        <v>580.85</v>
      </c>
      <c r="L463" s="10">
        <v>17427980340</v>
      </c>
      <c r="M463" s="9">
        <v>176721369300</v>
      </c>
      <c r="N463" s="12">
        <f xml:space="preserve"> Tb_prod[[#This Row],[Costo_Mantenimiento_CLP]] / Tb_prod[[#This Row],[Dias_Operación_Mes]]</f>
        <v>622427869.28571427</v>
      </c>
      <c r="O463" s="11">
        <f>Tb_prod[[#This Row],[Costo_Operativo_CLP]] / Tb_prod[[#This Row],[Producción_Toneladas]]</f>
        <v>71013790.882240653</v>
      </c>
      <c r="P463">
        <v>91</v>
      </c>
      <c r="Q463">
        <v>28</v>
      </c>
      <c r="R463" s="6">
        <v>45742</v>
      </c>
      <c r="S463" t="str">
        <f t="shared" si="16"/>
        <v>miércoles</v>
      </c>
      <c r="T463" t="str">
        <f t="shared" si="17"/>
        <v>marzo</v>
      </c>
      <c r="U463">
        <v>79.09</v>
      </c>
      <c r="V463">
        <f xml:space="preserve"> Tb_prod[[#This Row],[Emisiones_CO2_ton]] / Tb_prod[[#This Row],[Cantidad_Empleados]]</f>
        <v>6.3829670329670334</v>
      </c>
      <c r="W463" t="str">
        <f>IF(Tb_prod[[#This Row],[Recuperación_Metal_Porcentaje]]&gt;90,"Alta",IF(Tb_prod[[#This Row],[Recuperación_Metal_Porcentaje]]&gt;75,"Media","Baja"))</f>
        <v>Media</v>
      </c>
      <c r="X463" t="str">
        <f>IF(AND(Tb_prod[[#This Row],[Consumo_Energia_MWh]]&lt;=2000,Tb_prod[[#This Row],[Riesgo_Ambiental]]="Alto"),"Crítica","Normal")</f>
        <v>Normal</v>
      </c>
    </row>
    <row r="464" spans="1:24">
      <c r="A464">
        <v>217</v>
      </c>
      <c r="B464" t="str">
        <f>VLOOKUP(Tb_prod[[#This Row],[Región]],AUX_REGION[],2,0)</f>
        <v>Minera del Norte</v>
      </c>
      <c r="C464" t="s">
        <v>12</v>
      </c>
      <c r="D464" t="s">
        <v>18</v>
      </c>
      <c r="E464" t="s">
        <v>14</v>
      </c>
      <c r="F464" t="s">
        <v>24</v>
      </c>
      <c r="G464" t="s">
        <v>22</v>
      </c>
      <c r="H464" s="23">
        <v>4978.9399999999996</v>
      </c>
      <c r="I464" s="23">
        <v>2455.5300000000002</v>
      </c>
      <c r="J464" s="23">
        <v>68267.570000000007</v>
      </c>
      <c r="K464" s="23">
        <v>1221.19</v>
      </c>
      <c r="L464" s="10">
        <v>31040425710</v>
      </c>
      <c r="M464" s="9">
        <v>163229373180</v>
      </c>
      <c r="N464" s="12">
        <f xml:space="preserve"> Tb_prod[[#This Row],[Costo_Mantenimiento_CLP]] / Tb_prod[[#This Row],[Dias_Operación_Mes]]</f>
        <v>1410928441.3636363</v>
      </c>
      <c r="O464" s="11">
        <f>Tb_prod[[#This Row],[Costo_Operativo_CLP]] / Tb_prod[[#This Row],[Producción_Toneladas]]</f>
        <v>32783960.678377327</v>
      </c>
      <c r="P464">
        <v>180</v>
      </c>
      <c r="Q464">
        <v>22</v>
      </c>
      <c r="R464" s="6">
        <v>45907</v>
      </c>
      <c r="S464" t="str">
        <f t="shared" si="16"/>
        <v>domingo</v>
      </c>
      <c r="T464" t="str">
        <f t="shared" si="17"/>
        <v>septiembre</v>
      </c>
      <c r="U464">
        <v>77.72</v>
      </c>
      <c r="V464">
        <f xml:space="preserve"> Tb_prod[[#This Row],[Emisiones_CO2_ton]] / Tb_prod[[#This Row],[Cantidad_Empleados]]</f>
        <v>6.7843888888888895</v>
      </c>
      <c r="W464" t="str">
        <f>IF(Tb_prod[[#This Row],[Recuperación_Metal_Porcentaje]]&gt;90,"Alta",IF(Tb_prod[[#This Row],[Recuperación_Metal_Porcentaje]]&gt;75,"Media","Baja"))</f>
        <v>Media</v>
      </c>
      <c r="X464" t="str">
        <f>IF(AND(Tb_prod[[#This Row],[Consumo_Energia_MWh]]&lt;=2000,Tb_prod[[#This Row],[Riesgo_Ambiental]]="Alto"),"Crítica","Normal")</f>
        <v>Normal</v>
      </c>
    </row>
    <row r="465" spans="1:24">
      <c r="A465">
        <v>154</v>
      </c>
      <c r="B465" t="str">
        <f>VLOOKUP(Tb_prod[[#This Row],[Región]],AUX_REGION[],2,0)</f>
        <v>Minera Romero</v>
      </c>
      <c r="C465" t="s">
        <v>27</v>
      </c>
      <c r="D465" t="s">
        <v>23</v>
      </c>
      <c r="E465" t="s">
        <v>19</v>
      </c>
      <c r="F465" t="s">
        <v>24</v>
      </c>
      <c r="G465" t="s">
        <v>16</v>
      </c>
      <c r="H465" s="23">
        <v>4094.33</v>
      </c>
      <c r="I465" s="23">
        <v>2425.7199999999998</v>
      </c>
      <c r="J465" s="23">
        <v>68456.789999999994</v>
      </c>
      <c r="K465" s="23">
        <v>957.52</v>
      </c>
      <c r="L465" s="10">
        <v>22094463150</v>
      </c>
      <c r="M465" s="9">
        <v>116846815680</v>
      </c>
      <c r="N465" s="12">
        <f xml:space="preserve"> Tb_prod[[#This Row],[Costo_Mantenimiento_CLP]] / Tb_prod[[#This Row],[Dias_Operación_Mes]]</f>
        <v>736482105</v>
      </c>
      <c r="O465" s="11">
        <f>Tb_prod[[#This Row],[Costo_Operativo_CLP]] / Tb_prod[[#This Row],[Producción_Toneladas]]</f>
        <v>28538690.257013969</v>
      </c>
      <c r="P465">
        <v>237</v>
      </c>
      <c r="Q465">
        <v>30</v>
      </c>
      <c r="R465" s="6">
        <v>45129</v>
      </c>
      <c r="S465" t="str">
        <f t="shared" si="16"/>
        <v>sábado</v>
      </c>
      <c r="T465" t="str">
        <f t="shared" si="17"/>
        <v>julio</v>
      </c>
      <c r="U465">
        <v>78.680000000000007</v>
      </c>
      <c r="V465">
        <f xml:space="preserve"> Tb_prod[[#This Row],[Emisiones_CO2_ton]] / Tb_prod[[#This Row],[Cantidad_Empleados]]</f>
        <v>4.0401687763713081</v>
      </c>
      <c r="W465" t="str">
        <f>IF(Tb_prod[[#This Row],[Recuperación_Metal_Porcentaje]]&gt;90,"Alta",IF(Tb_prod[[#This Row],[Recuperación_Metal_Porcentaje]]&gt;75,"Media","Baja"))</f>
        <v>Media</v>
      </c>
      <c r="X465" t="str">
        <f>IF(AND(Tb_prod[[#This Row],[Consumo_Energia_MWh]]&lt;=2000,Tb_prod[[#This Row],[Riesgo_Ambiental]]="Alto"),"Crítica","Normal")</f>
        <v>Normal</v>
      </c>
    </row>
    <row r="466" spans="1:24">
      <c r="A466">
        <v>108</v>
      </c>
      <c r="B466" t="str">
        <f>VLOOKUP(Tb_prod[[#This Row],[Región]],AUX_REGION[],2,0)</f>
        <v>Minera del Norte</v>
      </c>
      <c r="C466" t="s">
        <v>12</v>
      </c>
      <c r="D466" t="s">
        <v>18</v>
      </c>
      <c r="E466" t="s">
        <v>14</v>
      </c>
      <c r="F466" t="s">
        <v>24</v>
      </c>
      <c r="G466" t="s">
        <v>20</v>
      </c>
      <c r="H466" s="23">
        <v>2357.1999999999998</v>
      </c>
      <c r="I466" s="23">
        <v>2645.71</v>
      </c>
      <c r="J466" s="23">
        <v>68784.47</v>
      </c>
      <c r="K466" s="23">
        <v>1102.02</v>
      </c>
      <c r="L466" s="10">
        <v>35179659090</v>
      </c>
      <c r="M466" s="9">
        <v>23339824740</v>
      </c>
      <c r="N466" s="12">
        <f xml:space="preserve"> Tb_prod[[#This Row],[Costo_Mantenimiento_CLP]] / Tb_prod[[#This Row],[Dias_Operación_Mes]]</f>
        <v>1213091692.7586207</v>
      </c>
      <c r="O466" s="11">
        <f>Tb_prod[[#This Row],[Costo_Operativo_CLP]] / Tb_prod[[#This Row],[Producción_Toneladas]]</f>
        <v>9901503.7926353309</v>
      </c>
      <c r="P466">
        <v>114</v>
      </c>
      <c r="Q466">
        <v>29</v>
      </c>
      <c r="R466" s="6">
        <v>45721</v>
      </c>
      <c r="S466" t="str">
        <f t="shared" si="16"/>
        <v>miércoles</v>
      </c>
      <c r="T466" t="str">
        <f t="shared" si="17"/>
        <v>marzo</v>
      </c>
      <c r="U466">
        <v>97.11</v>
      </c>
      <c r="V466">
        <f xml:space="preserve"> Tb_prod[[#This Row],[Emisiones_CO2_ton]] / Tb_prod[[#This Row],[Cantidad_Empleados]]</f>
        <v>9.6668421052631572</v>
      </c>
      <c r="W466" t="str">
        <f>IF(Tb_prod[[#This Row],[Recuperación_Metal_Porcentaje]]&gt;90,"Alta",IF(Tb_prod[[#This Row],[Recuperación_Metal_Porcentaje]]&gt;75,"Media","Baja"))</f>
        <v>Alta</v>
      </c>
      <c r="X466" t="str">
        <f>IF(AND(Tb_prod[[#This Row],[Consumo_Energia_MWh]]&lt;=2000,Tb_prod[[#This Row],[Riesgo_Ambiental]]="Alto"),"Crítica","Normal")</f>
        <v>Normal</v>
      </c>
    </row>
    <row r="467" spans="1:24">
      <c r="A467">
        <v>194</v>
      </c>
      <c r="B467" t="str">
        <f>VLOOKUP(Tb_prod[[#This Row],[Región]],AUX_REGION[],2,0)</f>
        <v>Minera Staff</v>
      </c>
      <c r="C467" t="s">
        <v>25</v>
      </c>
      <c r="D467" t="s">
        <v>13</v>
      </c>
      <c r="E467" t="s">
        <v>14</v>
      </c>
      <c r="F467" t="s">
        <v>15</v>
      </c>
      <c r="G467" t="s">
        <v>20</v>
      </c>
      <c r="H467" s="23">
        <v>4614.78</v>
      </c>
      <c r="I467" s="23">
        <v>2164.02</v>
      </c>
      <c r="J467" s="23">
        <v>69128.990000000005</v>
      </c>
      <c r="K467" s="23">
        <v>898.12</v>
      </c>
      <c r="L467" s="10">
        <v>43641031860</v>
      </c>
      <c r="M467" s="9">
        <v>59924344410</v>
      </c>
      <c r="N467" s="12">
        <f xml:space="preserve"> Tb_prod[[#This Row],[Costo_Mantenimiento_CLP]] / Tb_prod[[#This Row],[Dias_Operación_Mes]]</f>
        <v>1983683266.3636363</v>
      </c>
      <c r="O467" s="11">
        <f>Tb_prod[[#This Row],[Costo_Operativo_CLP]] / Tb_prod[[#This Row],[Producción_Toneladas]]</f>
        <v>12985309.030983059</v>
      </c>
      <c r="P467">
        <v>269</v>
      </c>
      <c r="Q467">
        <v>22</v>
      </c>
      <c r="R467" s="6">
        <v>44935</v>
      </c>
      <c r="S467" t="str">
        <f t="shared" si="16"/>
        <v>lunes</v>
      </c>
      <c r="T467" t="str">
        <f t="shared" si="17"/>
        <v>enero</v>
      </c>
      <c r="U467">
        <v>90.34</v>
      </c>
      <c r="V467">
        <f xml:space="preserve"> Tb_prod[[#This Row],[Emisiones_CO2_ton]] / Tb_prod[[#This Row],[Cantidad_Empleados]]</f>
        <v>3.3387360594795541</v>
      </c>
      <c r="W467" t="str">
        <f>IF(Tb_prod[[#This Row],[Recuperación_Metal_Porcentaje]]&gt;90,"Alta",IF(Tb_prod[[#This Row],[Recuperación_Metal_Porcentaje]]&gt;75,"Media","Baja"))</f>
        <v>Alta</v>
      </c>
      <c r="X467" t="str">
        <f>IF(AND(Tb_prod[[#This Row],[Consumo_Energia_MWh]]&lt;=2000,Tb_prod[[#This Row],[Riesgo_Ambiental]]="Alto"),"Crítica","Normal")</f>
        <v>Normal</v>
      </c>
    </row>
    <row r="468" spans="1:24">
      <c r="A468">
        <v>295</v>
      </c>
      <c r="B468" t="str">
        <f>VLOOKUP(Tb_prod[[#This Row],[Región]],AUX_REGION[],2,0)</f>
        <v>Minera Staff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s="23">
        <v>4700.09</v>
      </c>
      <c r="I468" s="23">
        <v>1967.75</v>
      </c>
      <c r="J468" s="23">
        <v>69135.69</v>
      </c>
      <c r="K468" s="23">
        <v>694.8</v>
      </c>
      <c r="L468" s="10">
        <v>37748288430</v>
      </c>
      <c r="M468" s="9">
        <v>167372929080</v>
      </c>
      <c r="N468" s="12">
        <f xml:space="preserve"> Tb_prod[[#This Row],[Costo_Mantenimiento_CLP]] / Tb_prod[[#This Row],[Dias_Operación_Mes]]</f>
        <v>1641229931.7391305</v>
      </c>
      <c r="O468" s="11">
        <f>Tb_prod[[#This Row],[Costo_Operativo_CLP]] / Tb_prod[[#This Row],[Producción_Toneladas]]</f>
        <v>35610579.601667203</v>
      </c>
      <c r="P468">
        <v>198</v>
      </c>
      <c r="Q468">
        <v>23</v>
      </c>
      <c r="R468" s="6">
        <v>45496</v>
      </c>
      <c r="S468" t="str">
        <f t="shared" si="16"/>
        <v>martes</v>
      </c>
      <c r="T468" t="str">
        <f t="shared" si="17"/>
        <v>julio</v>
      </c>
      <c r="U468">
        <v>91.2</v>
      </c>
      <c r="V468">
        <f xml:space="preserve"> Tb_prod[[#This Row],[Emisiones_CO2_ton]] / Tb_prod[[#This Row],[Cantidad_Empleados]]</f>
        <v>3.5090909090909088</v>
      </c>
      <c r="W468" t="str">
        <f>IF(Tb_prod[[#This Row],[Recuperación_Metal_Porcentaje]]&gt;90,"Alta",IF(Tb_prod[[#This Row],[Recuperación_Metal_Porcentaje]]&gt;75,"Media","Baja"))</f>
        <v>Alta</v>
      </c>
      <c r="X468" t="str">
        <f>IF(AND(Tb_prod[[#This Row],[Consumo_Energia_MWh]]&lt;=2000,Tb_prod[[#This Row],[Riesgo_Ambiental]]="Alto"),"Crítica","Normal")</f>
        <v>Normal</v>
      </c>
    </row>
    <row r="469" spans="1:24">
      <c r="A469">
        <v>227</v>
      </c>
      <c r="B469" t="str">
        <f>VLOOKUP(Tb_prod[[#This Row],[Región]],AUX_REGION[],2,0)</f>
        <v>Minera Staff</v>
      </c>
      <c r="C469" t="s">
        <v>25</v>
      </c>
      <c r="D469" t="s">
        <v>13</v>
      </c>
      <c r="E469" t="s">
        <v>14</v>
      </c>
      <c r="F469" t="s">
        <v>24</v>
      </c>
      <c r="G469" t="s">
        <v>16</v>
      </c>
      <c r="H469" s="23">
        <v>5527.84</v>
      </c>
      <c r="I469" s="23">
        <v>2464.3000000000002</v>
      </c>
      <c r="J469" s="23">
        <v>69278.570000000007</v>
      </c>
      <c r="K469" s="23">
        <v>513.12</v>
      </c>
      <c r="L469" s="10">
        <v>21640526550</v>
      </c>
      <c r="M469" s="9">
        <v>97077983310</v>
      </c>
      <c r="N469" s="12">
        <f xml:space="preserve"> Tb_prod[[#This Row],[Costo_Mantenimiento_CLP]] / Tb_prod[[#This Row],[Dias_Operación_Mes]]</f>
        <v>746225053.4482758</v>
      </c>
      <c r="O469" s="11">
        <f>Tb_prod[[#This Row],[Costo_Operativo_CLP]] / Tb_prod[[#This Row],[Producción_Toneladas]]</f>
        <v>17561648.548076645</v>
      </c>
      <c r="P469">
        <v>138</v>
      </c>
      <c r="Q469">
        <v>29</v>
      </c>
      <c r="R469" s="6">
        <v>45489</v>
      </c>
      <c r="S469" t="str">
        <f t="shared" si="16"/>
        <v>martes</v>
      </c>
      <c r="T469" t="str">
        <f t="shared" si="17"/>
        <v>julio</v>
      </c>
      <c r="U469">
        <v>93.64</v>
      </c>
      <c r="V469">
        <f xml:space="preserve"> Tb_prod[[#This Row],[Emisiones_CO2_ton]] / Tb_prod[[#This Row],[Cantidad_Empleados]]</f>
        <v>3.7182608695652175</v>
      </c>
      <c r="W469" t="str">
        <f>IF(Tb_prod[[#This Row],[Recuperación_Metal_Porcentaje]]&gt;90,"Alta",IF(Tb_prod[[#This Row],[Recuperación_Metal_Porcentaje]]&gt;75,"Media","Baja"))</f>
        <v>Alta</v>
      </c>
      <c r="X469" t="str">
        <f>IF(AND(Tb_prod[[#This Row],[Consumo_Energia_MWh]]&lt;=2000,Tb_prod[[#This Row],[Riesgo_Ambiental]]="Alto"),"Crítica","Normal")</f>
        <v>Normal</v>
      </c>
    </row>
    <row r="470" spans="1:24">
      <c r="A470">
        <v>95</v>
      </c>
      <c r="B470" t="str">
        <f>VLOOKUP(Tb_prod[[#This Row],[Región]],AUX_REGION[],2,0)</f>
        <v>Minera Romero</v>
      </c>
      <c r="C470" t="s">
        <v>27</v>
      </c>
      <c r="D470" t="s">
        <v>23</v>
      </c>
      <c r="E470" t="s">
        <v>14</v>
      </c>
      <c r="F470" t="s">
        <v>24</v>
      </c>
      <c r="G470" t="s">
        <v>20</v>
      </c>
      <c r="H470" s="23">
        <v>3126.24</v>
      </c>
      <c r="I470" s="23">
        <v>833.61</v>
      </c>
      <c r="J470" s="23">
        <v>69428.11</v>
      </c>
      <c r="K470" s="23">
        <v>966.33</v>
      </c>
      <c r="L470" s="10">
        <v>18466641630</v>
      </c>
      <c r="M470" s="9">
        <v>38984629050</v>
      </c>
      <c r="N470" s="12">
        <f xml:space="preserve"> Tb_prod[[#This Row],[Costo_Mantenimiento_CLP]] / Tb_prod[[#This Row],[Dias_Operación_Mes]]</f>
        <v>615554721</v>
      </c>
      <c r="O470" s="11">
        <f>Tb_prod[[#This Row],[Costo_Operativo_CLP]] / Tb_prod[[#This Row],[Producción_Toneladas]]</f>
        <v>12470133.147167206</v>
      </c>
      <c r="P470">
        <v>279</v>
      </c>
      <c r="Q470">
        <v>30</v>
      </c>
      <c r="R470" s="6">
        <v>45333</v>
      </c>
      <c r="S470" t="str">
        <f t="shared" si="16"/>
        <v>domingo</v>
      </c>
      <c r="T470" t="str">
        <f t="shared" si="17"/>
        <v>febrero</v>
      </c>
      <c r="U470">
        <v>78.44</v>
      </c>
      <c r="V470">
        <f xml:space="preserve"> Tb_prod[[#This Row],[Emisiones_CO2_ton]] / Tb_prod[[#This Row],[Cantidad_Empleados]]</f>
        <v>3.4635483870967745</v>
      </c>
      <c r="W470" t="str">
        <f>IF(Tb_prod[[#This Row],[Recuperación_Metal_Porcentaje]]&gt;90,"Alta",IF(Tb_prod[[#This Row],[Recuperación_Metal_Porcentaje]]&gt;75,"Media","Baja"))</f>
        <v>Media</v>
      </c>
      <c r="X470" t="str">
        <f>IF(AND(Tb_prod[[#This Row],[Consumo_Energia_MWh]]&lt;=2000,Tb_prod[[#This Row],[Riesgo_Ambiental]]="Alto"),"Crítica","Normal")</f>
        <v>Crítica</v>
      </c>
    </row>
    <row r="471" spans="1:24">
      <c r="A471">
        <v>197</v>
      </c>
      <c r="B471" t="str">
        <f>VLOOKUP(Tb_prod[[#This Row],[Región]],AUX_REGION[],2,0)</f>
        <v>Minera Romero</v>
      </c>
      <c r="C471" t="s">
        <v>21</v>
      </c>
      <c r="D471" t="s">
        <v>23</v>
      </c>
      <c r="E471" t="s">
        <v>14</v>
      </c>
      <c r="F471" t="s">
        <v>15</v>
      </c>
      <c r="G471" t="s">
        <v>20</v>
      </c>
      <c r="H471" s="23">
        <v>5548.26</v>
      </c>
      <c r="I471" s="23">
        <v>1745.48</v>
      </c>
      <c r="J471" s="23">
        <v>69665.5</v>
      </c>
      <c r="K471" s="23">
        <v>873.88</v>
      </c>
      <c r="L471" s="10">
        <v>23466538710</v>
      </c>
      <c r="M471" s="9">
        <v>123779106360</v>
      </c>
      <c r="N471" s="12">
        <f xml:space="preserve"> Tb_prod[[#This Row],[Costo_Mantenimiento_CLP]] / Tb_prod[[#This Row],[Dias_Operación_Mes]]</f>
        <v>782217957</v>
      </c>
      <c r="O471" s="11">
        <f>Tb_prod[[#This Row],[Costo_Operativo_CLP]] / Tb_prod[[#This Row],[Producción_Toneladas]]</f>
        <v>22309536.027511328</v>
      </c>
      <c r="P471">
        <v>244</v>
      </c>
      <c r="Q471">
        <v>30</v>
      </c>
      <c r="R471" s="6">
        <v>45330</v>
      </c>
      <c r="S471" t="str">
        <f t="shared" si="16"/>
        <v>jueves</v>
      </c>
      <c r="T471" t="str">
        <f t="shared" si="17"/>
        <v>febrero</v>
      </c>
      <c r="U471">
        <v>87.38</v>
      </c>
      <c r="V471">
        <f xml:space="preserve"> Tb_prod[[#This Row],[Emisiones_CO2_ton]] / Tb_prod[[#This Row],[Cantidad_Empleados]]</f>
        <v>3.5814754098360657</v>
      </c>
      <c r="W471" t="str">
        <f>IF(Tb_prod[[#This Row],[Recuperación_Metal_Porcentaje]]&gt;90,"Alta",IF(Tb_prod[[#This Row],[Recuperación_Metal_Porcentaje]]&gt;75,"Media","Baja"))</f>
        <v>Media</v>
      </c>
      <c r="X471" t="str">
        <f>IF(AND(Tb_prod[[#This Row],[Consumo_Energia_MWh]]&lt;=2000,Tb_prod[[#This Row],[Riesgo_Ambiental]]="Alto"),"Crítica","Normal")</f>
        <v>Crítica</v>
      </c>
    </row>
    <row r="472" spans="1:24">
      <c r="A472">
        <v>144</v>
      </c>
      <c r="B472" t="str">
        <f>VLOOKUP(Tb_prod[[#This Row],[Región]],AUX_REGION[],2,0)</f>
        <v>Minera Staff</v>
      </c>
      <c r="C472" t="s">
        <v>12</v>
      </c>
      <c r="D472" t="s">
        <v>13</v>
      </c>
      <c r="E472" t="s">
        <v>14</v>
      </c>
      <c r="F472" t="s">
        <v>24</v>
      </c>
      <c r="G472" t="s">
        <v>20</v>
      </c>
      <c r="H472" s="23">
        <v>3994.35</v>
      </c>
      <c r="I472" s="23">
        <v>1989.05</v>
      </c>
      <c r="J472" s="23">
        <v>69688.75</v>
      </c>
      <c r="K472" s="23">
        <v>1529.07</v>
      </c>
      <c r="L472" s="10">
        <v>5470893540</v>
      </c>
      <c r="M472" s="9">
        <v>13123214910</v>
      </c>
      <c r="N472" s="12">
        <f xml:space="preserve"> Tb_prod[[#This Row],[Costo_Mantenimiento_CLP]] / Tb_prod[[#This Row],[Dias_Operación_Mes]]</f>
        <v>237864936.52173913</v>
      </c>
      <c r="O472" s="11">
        <f>Tb_prod[[#This Row],[Costo_Operativo_CLP]] / Tb_prod[[#This Row],[Producción_Toneladas]]</f>
        <v>3285444.4177400577</v>
      </c>
      <c r="P472">
        <v>262</v>
      </c>
      <c r="Q472">
        <v>23</v>
      </c>
      <c r="R472" s="6">
        <v>45039</v>
      </c>
      <c r="S472" t="str">
        <f t="shared" si="16"/>
        <v>domingo</v>
      </c>
      <c r="T472" t="str">
        <f t="shared" si="17"/>
        <v>abril</v>
      </c>
      <c r="U472">
        <v>98.88</v>
      </c>
      <c r="V472">
        <f xml:space="preserve"> Tb_prod[[#This Row],[Emisiones_CO2_ton]] / Tb_prod[[#This Row],[Cantidad_Empleados]]</f>
        <v>5.8361450381679383</v>
      </c>
      <c r="W472" t="str">
        <f>IF(Tb_prod[[#This Row],[Recuperación_Metal_Porcentaje]]&gt;90,"Alta",IF(Tb_prod[[#This Row],[Recuperación_Metal_Porcentaje]]&gt;75,"Media","Baja"))</f>
        <v>Alta</v>
      </c>
      <c r="X472" t="str">
        <f>IF(AND(Tb_prod[[#This Row],[Consumo_Energia_MWh]]&lt;=2000,Tb_prod[[#This Row],[Riesgo_Ambiental]]="Alto"),"Crítica","Normal")</f>
        <v>Crítica</v>
      </c>
    </row>
    <row r="473" spans="1:24">
      <c r="A473">
        <v>83</v>
      </c>
      <c r="B473" t="str">
        <f>VLOOKUP(Tb_prod[[#This Row],[Región]],AUX_REGION[],2,0)</f>
        <v>Minera Staff</v>
      </c>
      <c r="C473" t="s">
        <v>17</v>
      </c>
      <c r="D473" t="s">
        <v>13</v>
      </c>
      <c r="E473" t="s">
        <v>14</v>
      </c>
      <c r="F473" t="s">
        <v>15</v>
      </c>
      <c r="G473" t="s">
        <v>20</v>
      </c>
      <c r="H473" s="23">
        <v>5844.62</v>
      </c>
      <c r="I473" s="23">
        <v>1235.3800000000001</v>
      </c>
      <c r="J473" s="23">
        <v>69944.92</v>
      </c>
      <c r="K473" s="23">
        <v>765.39</v>
      </c>
      <c r="L473" s="10">
        <v>43894936980</v>
      </c>
      <c r="M473" s="9">
        <v>141166125180</v>
      </c>
      <c r="N473" s="12">
        <f xml:space="preserve"> Tb_prod[[#This Row],[Costo_Mantenimiento_CLP]] / Tb_prod[[#This Row],[Dias_Operación_Mes]]</f>
        <v>1625738406.6666667</v>
      </c>
      <c r="O473" s="11">
        <f>Tb_prod[[#This Row],[Costo_Operativo_CLP]] / Tb_prod[[#This Row],[Producción_Toneladas]]</f>
        <v>24153174.232028771</v>
      </c>
      <c r="P473">
        <v>264</v>
      </c>
      <c r="Q473">
        <v>27</v>
      </c>
      <c r="R473" s="6">
        <v>45305</v>
      </c>
      <c r="S473" t="str">
        <f t="shared" si="16"/>
        <v>domingo</v>
      </c>
      <c r="T473" t="str">
        <f t="shared" si="17"/>
        <v>enero</v>
      </c>
      <c r="U473">
        <v>87.33</v>
      </c>
      <c r="V473">
        <f xml:space="preserve"> Tb_prod[[#This Row],[Emisiones_CO2_ton]] / Tb_prod[[#This Row],[Cantidad_Empleados]]</f>
        <v>2.8992045454545452</v>
      </c>
      <c r="W473" t="str">
        <f>IF(Tb_prod[[#This Row],[Recuperación_Metal_Porcentaje]]&gt;90,"Alta",IF(Tb_prod[[#This Row],[Recuperación_Metal_Porcentaje]]&gt;75,"Media","Baja"))</f>
        <v>Media</v>
      </c>
      <c r="X473" t="str">
        <f>IF(AND(Tb_prod[[#This Row],[Consumo_Energia_MWh]]&lt;=2000,Tb_prod[[#This Row],[Riesgo_Ambiental]]="Alto"),"Crítica","Normal")</f>
        <v>Crítica</v>
      </c>
    </row>
    <row r="474" spans="1:24">
      <c r="A474">
        <v>24</v>
      </c>
      <c r="B474" t="str">
        <f>VLOOKUP(Tb_prod[[#This Row],[Región]],AUX_REGION[],2,0)</f>
        <v>Minera del Norte</v>
      </c>
      <c r="C474" t="s">
        <v>27</v>
      </c>
      <c r="D474" t="s">
        <v>18</v>
      </c>
      <c r="E474" t="s">
        <v>19</v>
      </c>
      <c r="F474" t="s">
        <v>24</v>
      </c>
      <c r="G474" t="s">
        <v>20</v>
      </c>
      <c r="H474" s="23">
        <v>5017.0200000000004</v>
      </c>
      <c r="I474" s="23">
        <v>1077.29</v>
      </c>
      <c r="J474" s="23">
        <v>70142.91</v>
      </c>
      <c r="K474" s="23">
        <v>860.73</v>
      </c>
      <c r="L474" s="10">
        <v>12462247170</v>
      </c>
      <c r="M474" s="9">
        <v>134000751780</v>
      </c>
      <c r="N474" s="12">
        <f xml:space="preserve"> Tb_prod[[#This Row],[Costo_Mantenimiento_CLP]] / Tb_prod[[#This Row],[Dias_Operación_Mes]]</f>
        <v>461564710</v>
      </c>
      <c r="O474" s="11">
        <f>Tb_prod[[#This Row],[Costo_Operativo_CLP]] / Tb_prod[[#This Row],[Producción_Toneladas]]</f>
        <v>26709232.129830055</v>
      </c>
      <c r="P474">
        <v>196</v>
      </c>
      <c r="Q474">
        <v>27</v>
      </c>
      <c r="R474" s="6">
        <v>45653</v>
      </c>
      <c r="S474" t="str">
        <f t="shared" si="16"/>
        <v>viernes</v>
      </c>
      <c r="T474" t="str">
        <f t="shared" si="17"/>
        <v>diciembre</v>
      </c>
      <c r="U474">
        <v>89.08</v>
      </c>
      <c r="V474">
        <f xml:space="preserve"> Tb_prod[[#This Row],[Emisiones_CO2_ton]] / Tb_prod[[#This Row],[Cantidad_Empleados]]</f>
        <v>4.3914795918367346</v>
      </c>
      <c r="W474" t="str">
        <f>IF(Tb_prod[[#This Row],[Recuperación_Metal_Porcentaje]]&gt;90,"Alta",IF(Tb_prod[[#This Row],[Recuperación_Metal_Porcentaje]]&gt;75,"Media","Baja"))</f>
        <v>Media</v>
      </c>
      <c r="X474" t="str">
        <f>IF(AND(Tb_prod[[#This Row],[Consumo_Energia_MWh]]&lt;=2000,Tb_prod[[#This Row],[Riesgo_Ambiental]]="Alto"),"Crítica","Normal")</f>
        <v>Crítica</v>
      </c>
    </row>
    <row r="475" spans="1:24">
      <c r="A475">
        <v>455</v>
      </c>
      <c r="B475" t="str">
        <f>VLOOKUP(Tb_prod[[#This Row],[Región]],AUX_REGION[],2,0)</f>
        <v>Minera Romero</v>
      </c>
      <c r="C475" t="s">
        <v>12</v>
      </c>
      <c r="D475" t="s">
        <v>23</v>
      </c>
      <c r="E475" t="s">
        <v>19</v>
      </c>
      <c r="F475" t="s">
        <v>26</v>
      </c>
      <c r="G475" t="s">
        <v>22</v>
      </c>
      <c r="H475" s="23">
        <v>4329.28</v>
      </c>
      <c r="I475" s="23">
        <v>1857.03</v>
      </c>
      <c r="J475" s="23">
        <v>70235.64</v>
      </c>
      <c r="K475" s="23">
        <v>1455.08</v>
      </c>
      <c r="L475" s="10">
        <v>9504722340</v>
      </c>
      <c r="M475" s="9">
        <v>1657980771300</v>
      </c>
      <c r="N475" s="12">
        <f xml:space="preserve"> Tb_prod[[#This Row],[Costo_Mantenimiento_CLP]] / Tb_prod[[#This Row],[Dias_Operación_Mes]]</f>
        <v>452605825.71428573</v>
      </c>
      <c r="O475" s="11">
        <f>Tb_prod[[#This Row],[Costo_Operativo_CLP]] / Tb_prod[[#This Row],[Producción_Toneladas]]</f>
        <v>382969170.69351023</v>
      </c>
      <c r="P475">
        <v>197</v>
      </c>
      <c r="Q475">
        <v>21</v>
      </c>
      <c r="R475" s="6">
        <v>46004</v>
      </c>
      <c r="S475" t="str">
        <f t="shared" si="16"/>
        <v>sábado</v>
      </c>
      <c r="T475" t="str">
        <f t="shared" si="17"/>
        <v>diciembre</v>
      </c>
      <c r="U475">
        <v>75.44</v>
      </c>
      <c r="V475">
        <f xml:space="preserve"> Tb_prod[[#This Row],[Emisiones_CO2_ton]] / Tb_prod[[#This Row],[Cantidad_Empleados]]</f>
        <v>7.3861928934010148</v>
      </c>
      <c r="W475" t="str">
        <f>IF(Tb_prod[[#This Row],[Recuperación_Metal_Porcentaje]]&gt;90,"Alta",IF(Tb_prod[[#This Row],[Recuperación_Metal_Porcentaje]]&gt;75,"Media","Baja"))</f>
        <v>Media</v>
      </c>
      <c r="X475" t="str">
        <f>IF(AND(Tb_prod[[#This Row],[Consumo_Energia_MWh]]&lt;=2000,Tb_prod[[#This Row],[Riesgo_Ambiental]]="Alto"),"Crítica","Normal")</f>
        <v>Normal</v>
      </c>
    </row>
    <row r="476" spans="1:24">
      <c r="A476">
        <v>147</v>
      </c>
      <c r="B476" t="str">
        <f>VLOOKUP(Tb_prod[[#This Row],[Región]],AUX_REGION[],2,0)</f>
        <v>Minera del Norte</v>
      </c>
      <c r="C476" t="s">
        <v>12</v>
      </c>
      <c r="D476" t="s">
        <v>18</v>
      </c>
      <c r="E476" t="s">
        <v>14</v>
      </c>
      <c r="F476" t="s">
        <v>15</v>
      </c>
      <c r="G476" t="s">
        <v>22</v>
      </c>
      <c r="H476" s="23">
        <v>4473.29</v>
      </c>
      <c r="I476" s="23">
        <v>2746.42</v>
      </c>
      <c r="J476" s="23">
        <v>70280.289999999994</v>
      </c>
      <c r="K476" s="23">
        <v>959.83</v>
      </c>
      <c r="L476" s="10">
        <v>11806242300</v>
      </c>
      <c r="M476" s="9">
        <v>136513046790</v>
      </c>
      <c r="N476" s="12">
        <f xml:space="preserve"> Tb_prod[[#This Row],[Costo_Mantenimiento_CLP]] / Tb_prod[[#This Row],[Dias_Operación_Mes]]</f>
        <v>513314882.60869563</v>
      </c>
      <c r="O476" s="11">
        <f>Tb_prod[[#This Row],[Costo_Operativo_CLP]] / Tb_prod[[#This Row],[Producción_Toneladas]]</f>
        <v>30517370.166029926</v>
      </c>
      <c r="P476">
        <v>257</v>
      </c>
      <c r="Q476">
        <v>23</v>
      </c>
      <c r="R476" s="6">
        <v>45146</v>
      </c>
      <c r="S476" t="str">
        <f t="shared" ref="S476:S501" si="18">TEXT(R476,"dddd")</f>
        <v>martes</v>
      </c>
      <c r="T476" t="str">
        <f t="shared" si="17"/>
        <v>agosto</v>
      </c>
      <c r="U476">
        <v>88.42</v>
      </c>
      <c r="V476">
        <f xml:space="preserve"> Tb_prod[[#This Row],[Emisiones_CO2_ton]] / Tb_prod[[#This Row],[Cantidad_Empleados]]</f>
        <v>3.7347470817120625</v>
      </c>
      <c r="W476" t="str">
        <f>IF(Tb_prod[[#This Row],[Recuperación_Metal_Porcentaje]]&gt;90,"Alta",IF(Tb_prod[[#This Row],[Recuperación_Metal_Porcentaje]]&gt;75,"Media","Baja"))</f>
        <v>Media</v>
      </c>
      <c r="X476" t="str">
        <f>IF(AND(Tb_prod[[#This Row],[Consumo_Energia_MWh]]&lt;=2000,Tb_prod[[#This Row],[Riesgo_Ambiental]]="Alto"),"Crítica","Normal")</f>
        <v>Normal</v>
      </c>
    </row>
    <row r="477" spans="1:24">
      <c r="A477">
        <v>41</v>
      </c>
      <c r="B477" t="str">
        <f>VLOOKUP(Tb_prod[[#This Row],[Región]],AUX_REGION[],2,0)</f>
        <v>Minera Romero</v>
      </c>
      <c r="C477" t="s">
        <v>12</v>
      </c>
      <c r="D477" t="s">
        <v>23</v>
      </c>
      <c r="E477" t="s">
        <v>14</v>
      </c>
      <c r="F477" t="s">
        <v>26</v>
      </c>
      <c r="G477" t="s">
        <v>16</v>
      </c>
      <c r="H477" s="23">
        <v>4899.6899999999996</v>
      </c>
      <c r="I477" s="23">
        <v>1578.16</v>
      </c>
      <c r="J477" s="23">
        <v>70453.45</v>
      </c>
      <c r="K477" s="23">
        <v>745.77</v>
      </c>
      <c r="L477" s="10">
        <v>44281865070</v>
      </c>
      <c r="M477" s="9">
        <v>133836955560</v>
      </c>
      <c r="N477" s="12">
        <f xml:space="preserve"> Tb_prod[[#This Row],[Costo_Mantenimiento_CLP]] / Tb_prod[[#This Row],[Dias_Operación_Mes]]</f>
        <v>1640069076.6666667</v>
      </c>
      <c r="O477" s="11">
        <f>Tb_prod[[#This Row],[Costo_Operativo_CLP]] / Tb_prod[[#This Row],[Producción_Toneladas]]</f>
        <v>27315392.516669422</v>
      </c>
      <c r="P477">
        <v>278</v>
      </c>
      <c r="Q477">
        <v>27</v>
      </c>
      <c r="R477" s="6">
        <v>45491</v>
      </c>
      <c r="S477" t="str">
        <f t="shared" si="18"/>
        <v>jueves</v>
      </c>
      <c r="T477" t="str">
        <f t="shared" si="17"/>
        <v>julio</v>
      </c>
      <c r="U477">
        <v>94.91</v>
      </c>
      <c r="V477">
        <f xml:space="preserve"> Tb_prod[[#This Row],[Emisiones_CO2_ton]] / Tb_prod[[#This Row],[Cantidad_Empleados]]</f>
        <v>2.6826258992805756</v>
      </c>
      <c r="W477" t="str">
        <f>IF(Tb_prod[[#This Row],[Recuperación_Metal_Porcentaje]]&gt;90,"Alta",IF(Tb_prod[[#This Row],[Recuperación_Metal_Porcentaje]]&gt;75,"Media","Baja"))</f>
        <v>Alta</v>
      </c>
      <c r="X477" t="str">
        <f>IF(AND(Tb_prod[[#This Row],[Consumo_Energia_MWh]]&lt;=2000,Tb_prod[[#This Row],[Riesgo_Ambiental]]="Alto"),"Crítica","Normal")</f>
        <v>Normal</v>
      </c>
    </row>
    <row r="478" spans="1:24">
      <c r="A478">
        <v>499</v>
      </c>
      <c r="B478" t="str">
        <f>VLOOKUP(Tb_prod[[#This Row],[Región]],AUX_REGION[],2,0)</f>
        <v>Minera Romero</v>
      </c>
      <c r="C478" t="s">
        <v>27</v>
      </c>
      <c r="D478" t="s">
        <v>23</v>
      </c>
      <c r="E478" t="s">
        <v>19</v>
      </c>
      <c r="F478" t="s">
        <v>24</v>
      </c>
      <c r="G478" t="s">
        <v>20</v>
      </c>
      <c r="H478" s="23">
        <v>6302.67</v>
      </c>
      <c r="I478" s="23">
        <v>1766.86</v>
      </c>
      <c r="J478" s="23">
        <v>70770.22</v>
      </c>
      <c r="K478" s="23">
        <v>819.04</v>
      </c>
      <c r="L478" s="10">
        <v>17028591660</v>
      </c>
      <c r="M478" s="9">
        <v>77450600880</v>
      </c>
      <c r="N478" s="12">
        <f xml:space="preserve"> Tb_prod[[#This Row],[Costo_Mantenimiento_CLP]] / Tb_prod[[#This Row],[Dias_Operación_Mes]]</f>
        <v>681143666.39999998</v>
      </c>
      <c r="O478" s="11">
        <f>Tb_prod[[#This Row],[Costo_Operativo_CLP]] / Tb_prod[[#This Row],[Producción_Toneladas]]</f>
        <v>12288538.171917615</v>
      </c>
      <c r="P478">
        <v>165</v>
      </c>
      <c r="Q478">
        <v>25</v>
      </c>
      <c r="R478" s="6">
        <v>45710</v>
      </c>
      <c r="S478" t="str">
        <f t="shared" si="18"/>
        <v>sábado</v>
      </c>
      <c r="T478" t="str">
        <f t="shared" si="17"/>
        <v>febrero</v>
      </c>
      <c r="U478">
        <v>91.59</v>
      </c>
      <c r="V478">
        <f xml:space="preserve"> Tb_prod[[#This Row],[Emisiones_CO2_ton]] / Tb_prod[[#This Row],[Cantidad_Empleados]]</f>
        <v>4.9638787878787873</v>
      </c>
      <c r="W478" t="str">
        <f>IF(Tb_prod[[#This Row],[Recuperación_Metal_Porcentaje]]&gt;90,"Alta",IF(Tb_prod[[#This Row],[Recuperación_Metal_Porcentaje]]&gt;75,"Media","Baja"))</f>
        <v>Alta</v>
      </c>
      <c r="X478" t="str">
        <f>IF(AND(Tb_prod[[#This Row],[Consumo_Energia_MWh]]&lt;=2000,Tb_prod[[#This Row],[Riesgo_Ambiental]]="Alto"),"Crítica","Normal")</f>
        <v>Crítica</v>
      </c>
    </row>
    <row r="479" spans="1:24">
      <c r="A479">
        <v>92</v>
      </c>
      <c r="B479" t="str">
        <f>VLOOKUP(Tb_prod[[#This Row],[Región]],AUX_REGION[],2,0)</f>
        <v>Minera del Norte</v>
      </c>
      <c r="C479" t="s">
        <v>27</v>
      </c>
      <c r="D479" t="s">
        <v>18</v>
      </c>
      <c r="E479" t="s">
        <v>14</v>
      </c>
      <c r="F479" t="s">
        <v>24</v>
      </c>
      <c r="G479" t="s">
        <v>20</v>
      </c>
      <c r="H479" s="23">
        <v>4248.29</v>
      </c>
      <c r="I479" s="23">
        <v>2796.25</v>
      </c>
      <c r="J479" s="23">
        <v>70782.789999999994</v>
      </c>
      <c r="K479" s="23">
        <v>928.03</v>
      </c>
      <c r="L479" s="10">
        <v>3549968010</v>
      </c>
      <c r="M479" s="9">
        <v>96511988160</v>
      </c>
      <c r="N479" s="12">
        <f xml:space="preserve"> Tb_prod[[#This Row],[Costo_Mantenimiento_CLP]] / Tb_prod[[#This Row],[Dias_Operación_Mes]]</f>
        <v>161362182.27272728</v>
      </c>
      <c r="O479" s="11">
        <f>Tb_prod[[#This Row],[Costo_Operativo_CLP]] / Tb_prod[[#This Row],[Producción_Toneladas]]</f>
        <v>22717843.687695522</v>
      </c>
      <c r="P479">
        <v>239</v>
      </c>
      <c r="Q479">
        <v>22</v>
      </c>
      <c r="R479" s="6">
        <v>44938</v>
      </c>
      <c r="S479" t="str">
        <f t="shared" si="18"/>
        <v>jueves</v>
      </c>
      <c r="T479" t="str">
        <f t="shared" si="17"/>
        <v>enero</v>
      </c>
      <c r="U479">
        <v>84.71</v>
      </c>
      <c r="V479">
        <f xml:space="preserve"> Tb_prod[[#This Row],[Emisiones_CO2_ton]] / Tb_prod[[#This Row],[Cantidad_Empleados]]</f>
        <v>3.8829707112970708</v>
      </c>
      <c r="W479" t="str">
        <f>IF(Tb_prod[[#This Row],[Recuperación_Metal_Porcentaje]]&gt;90,"Alta",IF(Tb_prod[[#This Row],[Recuperación_Metal_Porcentaje]]&gt;75,"Media","Baja"))</f>
        <v>Media</v>
      </c>
      <c r="X479" t="str">
        <f>IF(AND(Tb_prod[[#This Row],[Consumo_Energia_MWh]]&lt;=2000,Tb_prod[[#This Row],[Riesgo_Ambiental]]="Alto"),"Crítica","Normal")</f>
        <v>Normal</v>
      </c>
    </row>
    <row r="480" spans="1:24">
      <c r="A480">
        <v>379</v>
      </c>
      <c r="B480" t="str">
        <f>VLOOKUP(Tb_prod[[#This Row],[Región]],AUX_REGION[],2,0)</f>
        <v>Minera Staff</v>
      </c>
      <c r="C480" t="s">
        <v>25</v>
      </c>
      <c r="D480" t="s">
        <v>13</v>
      </c>
      <c r="E480" t="s">
        <v>19</v>
      </c>
      <c r="F480" t="s">
        <v>26</v>
      </c>
      <c r="G480" t="s">
        <v>20</v>
      </c>
      <c r="H480" s="23">
        <v>2989.21</v>
      </c>
      <c r="I480" s="23">
        <v>1433.97</v>
      </c>
      <c r="J480" s="23">
        <v>70873.47</v>
      </c>
      <c r="K480" s="23">
        <v>1282.77</v>
      </c>
      <c r="L480" s="10">
        <v>5498587170</v>
      </c>
      <c r="M480" s="9">
        <v>104879697120</v>
      </c>
      <c r="N480" s="12">
        <f xml:space="preserve"> Tb_prod[[#This Row],[Costo_Mantenimiento_CLP]] / Tb_prod[[#This Row],[Dias_Operación_Mes]]</f>
        <v>274929358.5</v>
      </c>
      <c r="O480" s="11">
        <f>Tb_prod[[#This Row],[Costo_Operativo_CLP]] / Tb_prod[[#This Row],[Producción_Toneladas]]</f>
        <v>35086092.017623387</v>
      </c>
      <c r="P480">
        <v>112</v>
      </c>
      <c r="Q480">
        <v>20</v>
      </c>
      <c r="R480" s="6">
        <v>45323</v>
      </c>
      <c r="S480" t="str">
        <f t="shared" si="18"/>
        <v>jueves</v>
      </c>
      <c r="T480" t="str">
        <f t="shared" si="17"/>
        <v>febrero</v>
      </c>
      <c r="U480">
        <v>83.34</v>
      </c>
      <c r="V480">
        <f xml:space="preserve"> Tb_prod[[#This Row],[Emisiones_CO2_ton]] / Tb_prod[[#This Row],[Cantidad_Empleados]]</f>
        <v>11.453303571428572</v>
      </c>
      <c r="W480" t="str">
        <f>IF(Tb_prod[[#This Row],[Recuperación_Metal_Porcentaje]]&gt;90,"Alta",IF(Tb_prod[[#This Row],[Recuperación_Metal_Porcentaje]]&gt;75,"Media","Baja"))</f>
        <v>Media</v>
      </c>
      <c r="X480" t="str">
        <f>IF(AND(Tb_prod[[#This Row],[Consumo_Energia_MWh]]&lt;=2000,Tb_prod[[#This Row],[Riesgo_Ambiental]]="Alto"),"Crítica","Normal")</f>
        <v>Crítica</v>
      </c>
    </row>
    <row r="481" spans="1:24">
      <c r="A481">
        <v>275</v>
      </c>
      <c r="B481" t="str">
        <f>VLOOKUP(Tb_prod[[#This Row],[Región]],AUX_REGION[],2,0)</f>
        <v>Minera del Norte</v>
      </c>
      <c r="C481" t="s">
        <v>21</v>
      </c>
      <c r="D481" t="s">
        <v>18</v>
      </c>
      <c r="E481" t="s">
        <v>14</v>
      </c>
      <c r="F481" t="s">
        <v>15</v>
      </c>
      <c r="G481" t="s">
        <v>22</v>
      </c>
      <c r="H481" s="23">
        <v>4875.72</v>
      </c>
      <c r="I481" s="23">
        <v>2213.6999999999998</v>
      </c>
      <c r="J481" s="23">
        <v>71272.25</v>
      </c>
      <c r="K481" s="23">
        <v>1134.6099999999999</v>
      </c>
      <c r="L481" s="10">
        <v>14180730120</v>
      </c>
      <c r="M481" s="9">
        <v>14843193480</v>
      </c>
      <c r="N481" s="12">
        <f xml:space="preserve"> Tb_prod[[#This Row],[Costo_Mantenimiento_CLP]] / Tb_prod[[#This Row],[Dias_Operación_Mes]]</f>
        <v>545412696.92307687</v>
      </c>
      <c r="O481" s="11">
        <f>Tb_prod[[#This Row],[Costo_Operativo_CLP]] / Tb_prod[[#This Row],[Producción_Toneladas]]</f>
        <v>3044308.0160468607</v>
      </c>
      <c r="P481">
        <v>238</v>
      </c>
      <c r="Q481">
        <v>26</v>
      </c>
      <c r="R481" s="6">
        <v>45334</v>
      </c>
      <c r="S481" t="str">
        <f t="shared" si="18"/>
        <v>lunes</v>
      </c>
      <c r="T481" t="str">
        <f t="shared" si="17"/>
        <v>febrero</v>
      </c>
      <c r="U481">
        <v>85.31</v>
      </c>
      <c r="V481">
        <f xml:space="preserve"> Tb_prod[[#This Row],[Emisiones_CO2_ton]] / Tb_prod[[#This Row],[Cantidad_Empleados]]</f>
        <v>4.7672689075630243</v>
      </c>
      <c r="W481" t="str">
        <f>IF(Tb_prod[[#This Row],[Recuperación_Metal_Porcentaje]]&gt;90,"Alta",IF(Tb_prod[[#This Row],[Recuperación_Metal_Porcentaje]]&gt;75,"Media","Baja"))</f>
        <v>Media</v>
      </c>
      <c r="X481" t="str">
        <f>IF(AND(Tb_prod[[#This Row],[Consumo_Energia_MWh]]&lt;=2000,Tb_prod[[#This Row],[Riesgo_Ambiental]]="Alto"),"Crítica","Normal")</f>
        <v>Normal</v>
      </c>
    </row>
    <row r="482" spans="1:24">
      <c r="A482">
        <v>75</v>
      </c>
      <c r="B482" t="str">
        <f>VLOOKUP(Tb_prod[[#This Row],[Región]],AUX_REGION[],2,0)</f>
        <v>Minera del Norte</v>
      </c>
      <c r="C482" t="s">
        <v>17</v>
      </c>
      <c r="D482" t="s">
        <v>18</v>
      </c>
      <c r="E482" t="s">
        <v>14</v>
      </c>
      <c r="F482" t="s">
        <v>24</v>
      </c>
      <c r="G482" t="s">
        <v>20</v>
      </c>
      <c r="H482" s="23">
        <v>6179.26</v>
      </c>
      <c r="I482" s="23">
        <v>1102.47</v>
      </c>
      <c r="J482" s="23">
        <v>71555.89</v>
      </c>
      <c r="K482" s="23">
        <v>688.91</v>
      </c>
      <c r="L482" s="10">
        <v>17764977330</v>
      </c>
      <c r="M482" s="9">
        <v>65201805450</v>
      </c>
      <c r="N482" s="12">
        <f xml:space="preserve"> Tb_prod[[#This Row],[Costo_Mantenimiento_CLP]] / Tb_prod[[#This Row],[Dias_Operación_Mes]]</f>
        <v>612585425.17241383</v>
      </c>
      <c r="O482" s="11">
        <f>Tb_prod[[#This Row],[Costo_Operativo_CLP]] / Tb_prod[[#This Row],[Producción_Toneladas]]</f>
        <v>10551717.430566119</v>
      </c>
      <c r="P482">
        <v>272</v>
      </c>
      <c r="Q482">
        <v>29</v>
      </c>
      <c r="R482" s="6">
        <v>44991</v>
      </c>
      <c r="S482" t="str">
        <f t="shared" si="18"/>
        <v>lunes</v>
      </c>
      <c r="T482" t="str">
        <f t="shared" si="17"/>
        <v>marzo</v>
      </c>
      <c r="U482">
        <v>77.81</v>
      </c>
      <c r="V482">
        <f xml:space="preserve"> Tb_prod[[#This Row],[Emisiones_CO2_ton]] / Tb_prod[[#This Row],[Cantidad_Empleados]]</f>
        <v>2.5327573529411764</v>
      </c>
      <c r="W482" t="str">
        <f>IF(Tb_prod[[#This Row],[Recuperación_Metal_Porcentaje]]&gt;90,"Alta",IF(Tb_prod[[#This Row],[Recuperación_Metal_Porcentaje]]&gt;75,"Media","Baja"))</f>
        <v>Media</v>
      </c>
      <c r="X482" t="str">
        <f>IF(AND(Tb_prod[[#This Row],[Consumo_Energia_MWh]]&lt;=2000,Tb_prod[[#This Row],[Riesgo_Ambiental]]="Alto"),"Crítica","Normal")</f>
        <v>Crítica</v>
      </c>
    </row>
    <row r="483" spans="1:24">
      <c r="A483">
        <v>268</v>
      </c>
      <c r="B483" t="str">
        <f>VLOOKUP(Tb_prod[[#This Row],[Región]],AUX_REGION[],2,0)</f>
        <v>Minera Romero</v>
      </c>
      <c r="C483" t="s">
        <v>27</v>
      </c>
      <c r="D483" t="s">
        <v>23</v>
      </c>
      <c r="E483" t="s">
        <v>14</v>
      </c>
      <c r="F483" t="s">
        <v>15</v>
      </c>
      <c r="G483" t="s">
        <v>16</v>
      </c>
      <c r="H483" s="23">
        <v>6547.01</v>
      </c>
      <c r="I483" s="23">
        <v>2633.99</v>
      </c>
      <c r="J483" s="23">
        <v>71595.429999999993</v>
      </c>
      <c r="K483" s="23">
        <v>1062.83</v>
      </c>
      <c r="L483" s="10">
        <v>38049468390</v>
      </c>
      <c r="M483" s="9">
        <v>41273783910</v>
      </c>
      <c r="N483" s="12">
        <f xml:space="preserve"> Tb_prod[[#This Row],[Costo_Mantenimiento_CLP]] / Tb_prod[[#This Row],[Dias_Operación_Mes]]</f>
        <v>1268315613</v>
      </c>
      <c r="O483" s="11">
        <f>Tb_prod[[#This Row],[Costo_Operativo_CLP]] / Tb_prod[[#This Row],[Producción_Toneladas]]</f>
        <v>6304218.8586851098</v>
      </c>
      <c r="P483">
        <v>236</v>
      </c>
      <c r="Q483">
        <v>30</v>
      </c>
      <c r="R483" s="6">
        <v>45778</v>
      </c>
      <c r="S483" t="str">
        <f t="shared" si="18"/>
        <v>jueves</v>
      </c>
      <c r="T483" t="str">
        <f t="shared" si="17"/>
        <v>mayo</v>
      </c>
      <c r="U483">
        <v>86.07</v>
      </c>
      <c r="V483">
        <f xml:space="preserve"> Tb_prod[[#This Row],[Emisiones_CO2_ton]] / Tb_prod[[#This Row],[Cantidad_Empleados]]</f>
        <v>4.5035169491525417</v>
      </c>
      <c r="W483" t="str">
        <f>IF(Tb_prod[[#This Row],[Recuperación_Metal_Porcentaje]]&gt;90,"Alta",IF(Tb_prod[[#This Row],[Recuperación_Metal_Porcentaje]]&gt;75,"Media","Baja"))</f>
        <v>Media</v>
      </c>
      <c r="X483" t="str">
        <f>IF(AND(Tb_prod[[#This Row],[Consumo_Energia_MWh]]&lt;=2000,Tb_prod[[#This Row],[Riesgo_Ambiental]]="Alto"),"Crítica","Normal")</f>
        <v>Normal</v>
      </c>
    </row>
    <row r="484" spans="1:24">
      <c r="A484">
        <v>448</v>
      </c>
      <c r="B484" t="str">
        <f>VLOOKUP(Tb_prod[[#This Row],[Región]],AUX_REGION[],2,0)</f>
        <v>Minera del Norte</v>
      </c>
      <c r="C484" t="s">
        <v>27</v>
      </c>
      <c r="D484" t="s">
        <v>18</v>
      </c>
      <c r="E484" t="s">
        <v>14</v>
      </c>
      <c r="F484" t="s">
        <v>24</v>
      </c>
      <c r="G484" t="s">
        <v>16</v>
      </c>
      <c r="H484" s="23">
        <v>3630.58</v>
      </c>
      <c r="I484" s="23">
        <v>1643.52</v>
      </c>
      <c r="J484" s="23">
        <v>71630.14</v>
      </c>
      <c r="K484" s="23">
        <v>1350.94</v>
      </c>
      <c r="L484" s="10">
        <v>3577947840</v>
      </c>
      <c r="M484" s="9">
        <v>53283146220</v>
      </c>
      <c r="N484" s="12">
        <f xml:space="preserve"> Tb_prod[[#This Row],[Costo_Mantenimiento_CLP]] / Tb_prod[[#This Row],[Dias_Operación_Mes]]</f>
        <v>170378468.57142857</v>
      </c>
      <c r="O484" s="11">
        <f>Tb_prod[[#This Row],[Costo_Operativo_CLP]] / Tb_prod[[#This Row],[Producción_Toneladas]]</f>
        <v>14676207.718876874</v>
      </c>
      <c r="P484">
        <v>116</v>
      </c>
      <c r="Q484">
        <v>21</v>
      </c>
      <c r="R484" s="6">
        <v>45880</v>
      </c>
      <c r="S484" t="str">
        <f t="shared" si="18"/>
        <v>lunes</v>
      </c>
      <c r="T484" t="str">
        <f t="shared" si="17"/>
        <v>agosto</v>
      </c>
      <c r="U484">
        <v>89.31</v>
      </c>
      <c r="V484">
        <f xml:space="preserve"> Tb_prod[[#This Row],[Emisiones_CO2_ton]] / Tb_prod[[#This Row],[Cantidad_Empleados]]</f>
        <v>11.646034482758621</v>
      </c>
      <c r="W484" t="str">
        <f>IF(Tb_prod[[#This Row],[Recuperación_Metal_Porcentaje]]&gt;90,"Alta",IF(Tb_prod[[#This Row],[Recuperación_Metal_Porcentaje]]&gt;75,"Media","Baja"))</f>
        <v>Media</v>
      </c>
      <c r="X484" t="str">
        <f>IF(AND(Tb_prod[[#This Row],[Consumo_Energia_MWh]]&lt;=2000,Tb_prod[[#This Row],[Riesgo_Ambiental]]="Alto"),"Crítica","Normal")</f>
        <v>Normal</v>
      </c>
    </row>
    <row r="485" spans="1:24">
      <c r="A485">
        <v>120</v>
      </c>
      <c r="B485" t="str">
        <f>VLOOKUP(Tb_prod[[#This Row],[Región]],AUX_REGION[],2,0)</f>
        <v>Minera Romero</v>
      </c>
      <c r="C485" t="s">
        <v>25</v>
      </c>
      <c r="D485" t="s">
        <v>23</v>
      </c>
      <c r="E485" t="s">
        <v>14</v>
      </c>
      <c r="F485" t="s">
        <v>24</v>
      </c>
      <c r="G485" t="s">
        <v>16</v>
      </c>
      <c r="H485" s="23">
        <v>6230.72</v>
      </c>
      <c r="I485" s="23">
        <v>2192.63</v>
      </c>
      <c r="J485" s="23">
        <v>72431.23</v>
      </c>
      <c r="K485" s="23">
        <v>613.74</v>
      </c>
      <c r="L485" s="10">
        <v>16741338480</v>
      </c>
      <c r="M485" s="9">
        <v>63802098540</v>
      </c>
      <c r="N485" s="12">
        <f xml:space="preserve"> Tb_prod[[#This Row],[Costo_Mantenimiento_CLP]] / Tb_prod[[#This Row],[Dias_Operación_Mes]]</f>
        <v>643897633.84615386</v>
      </c>
      <c r="O485" s="11">
        <f>Tb_prod[[#This Row],[Costo_Operativo_CLP]] / Tb_prod[[#This Row],[Producción_Toneladas]]</f>
        <v>10239923.883596117</v>
      </c>
      <c r="P485">
        <v>71</v>
      </c>
      <c r="Q485">
        <v>26</v>
      </c>
      <c r="R485" s="6">
        <v>45675</v>
      </c>
      <c r="S485" t="str">
        <f t="shared" si="18"/>
        <v>sábado</v>
      </c>
      <c r="T485" t="str">
        <f t="shared" si="17"/>
        <v>enero</v>
      </c>
      <c r="U485">
        <v>97.07</v>
      </c>
      <c r="V485">
        <f xml:space="preserve"> Tb_prod[[#This Row],[Emisiones_CO2_ton]] / Tb_prod[[#This Row],[Cantidad_Empleados]]</f>
        <v>8.6442253521126755</v>
      </c>
      <c r="W485" t="str">
        <f>IF(Tb_prod[[#This Row],[Recuperación_Metal_Porcentaje]]&gt;90,"Alta",IF(Tb_prod[[#This Row],[Recuperación_Metal_Porcentaje]]&gt;75,"Media","Baja"))</f>
        <v>Alta</v>
      </c>
      <c r="X485" t="str">
        <f>IF(AND(Tb_prod[[#This Row],[Consumo_Energia_MWh]]&lt;=2000,Tb_prod[[#This Row],[Riesgo_Ambiental]]="Alto"),"Crítica","Normal")</f>
        <v>Normal</v>
      </c>
    </row>
    <row r="486" spans="1:24">
      <c r="A486">
        <v>47</v>
      </c>
      <c r="B486" t="str">
        <f>VLOOKUP(Tb_prod[[#This Row],[Región]],AUX_REGION[],2,0)</f>
        <v>Minera del Norte</v>
      </c>
      <c r="C486" t="s">
        <v>25</v>
      </c>
      <c r="D486" t="s">
        <v>18</v>
      </c>
      <c r="E486" t="s">
        <v>14</v>
      </c>
      <c r="F486" t="s">
        <v>24</v>
      </c>
      <c r="G486" t="s">
        <v>22</v>
      </c>
      <c r="H486" s="23">
        <v>3716.34</v>
      </c>
      <c r="I486" s="23">
        <v>2052.39</v>
      </c>
      <c r="J486" s="23">
        <v>73216.17</v>
      </c>
      <c r="K486" s="23">
        <v>874.67</v>
      </c>
      <c r="L486" s="10">
        <v>1411063133338.8899</v>
      </c>
      <c r="M486" s="9">
        <v>132085486980</v>
      </c>
      <c r="N486" s="12">
        <f xml:space="preserve"> Tb_prod[[#This Row],[Costo_Mantenimiento_CLP]] / Tb_prod[[#This Row],[Dias_Operación_Mes]]</f>
        <v>67193482539.947136</v>
      </c>
      <c r="O486" s="11">
        <f>Tb_prod[[#This Row],[Costo_Operativo_CLP]] / Tb_prod[[#This Row],[Producción_Toneladas]]</f>
        <v>35541819.903453395</v>
      </c>
      <c r="P486">
        <v>89</v>
      </c>
      <c r="Q486">
        <v>21</v>
      </c>
      <c r="R486" s="6">
        <v>44961</v>
      </c>
      <c r="S486" t="str">
        <f t="shared" si="18"/>
        <v>sábado</v>
      </c>
      <c r="T486" t="str">
        <f t="shared" si="17"/>
        <v>febrero</v>
      </c>
      <c r="U486">
        <v>77.22</v>
      </c>
      <c r="V486">
        <f xml:space="preserve"> Tb_prod[[#This Row],[Emisiones_CO2_ton]] / Tb_prod[[#This Row],[Cantidad_Empleados]]</f>
        <v>9.8277528089887642</v>
      </c>
      <c r="W486" t="str">
        <f>IF(Tb_prod[[#This Row],[Recuperación_Metal_Porcentaje]]&gt;90,"Alta",IF(Tb_prod[[#This Row],[Recuperación_Metal_Porcentaje]]&gt;75,"Media","Baja"))</f>
        <v>Media</v>
      </c>
      <c r="X486" t="str">
        <f>IF(AND(Tb_prod[[#This Row],[Consumo_Energia_MWh]]&lt;=2000,Tb_prod[[#This Row],[Riesgo_Ambiental]]="Alto"),"Crítica","Normal")</f>
        <v>Normal</v>
      </c>
    </row>
    <row r="487" spans="1:24">
      <c r="A487">
        <v>283</v>
      </c>
      <c r="B487" t="str">
        <f>VLOOKUP(Tb_prod[[#This Row],[Región]],AUX_REGION[],2,0)</f>
        <v>Minera del Norte</v>
      </c>
      <c r="C487" t="s">
        <v>27</v>
      </c>
      <c r="D487" t="s">
        <v>18</v>
      </c>
      <c r="E487" t="s">
        <v>14</v>
      </c>
      <c r="F487" t="s">
        <v>26</v>
      </c>
      <c r="G487" t="s">
        <v>20</v>
      </c>
      <c r="H487" s="23">
        <v>6869.49</v>
      </c>
      <c r="I487" s="23">
        <v>1753.15</v>
      </c>
      <c r="J487" s="23">
        <v>73306.28</v>
      </c>
      <c r="K487" s="23">
        <v>772.81</v>
      </c>
      <c r="L487" s="10">
        <v>16783837380</v>
      </c>
      <c r="M487" s="9">
        <v>150794636850</v>
      </c>
      <c r="N487" s="12">
        <f xml:space="preserve"> Tb_prod[[#This Row],[Costo_Mantenimiento_CLP]] / Tb_prod[[#This Row],[Dias_Operación_Mes]]</f>
        <v>645532206.92307687</v>
      </c>
      <c r="O487" s="11">
        <f>Tb_prod[[#This Row],[Costo_Operativo_CLP]] / Tb_prod[[#This Row],[Producción_Toneladas]]</f>
        <v>21951358.375949308</v>
      </c>
      <c r="P487">
        <v>152</v>
      </c>
      <c r="Q487">
        <v>26</v>
      </c>
      <c r="R487" s="6">
        <v>45438</v>
      </c>
      <c r="S487" t="str">
        <f t="shared" si="18"/>
        <v>domingo</v>
      </c>
      <c r="T487" t="str">
        <f t="shared" si="17"/>
        <v>mayo</v>
      </c>
      <c r="U487">
        <v>76.099999999999994</v>
      </c>
      <c r="V487">
        <f xml:space="preserve"> Tb_prod[[#This Row],[Emisiones_CO2_ton]] / Tb_prod[[#This Row],[Cantidad_Empleados]]</f>
        <v>5.0842763157894737</v>
      </c>
      <c r="W487" t="str">
        <f>IF(Tb_prod[[#This Row],[Recuperación_Metal_Porcentaje]]&gt;90,"Alta",IF(Tb_prod[[#This Row],[Recuperación_Metal_Porcentaje]]&gt;75,"Media","Baja"))</f>
        <v>Media</v>
      </c>
      <c r="X487" t="str">
        <f>IF(AND(Tb_prod[[#This Row],[Consumo_Energia_MWh]]&lt;=2000,Tb_prod[[#This Row],[Riesgo_Ambiental]]="Alto"),"Crítica","Normal")</f>
        <v>Crítica</v>
      </c>
    </row>
    <row r="488" spans="1:24">
      <c r="A488">
        <v>469</v>
      </c>
      <c r="B488" t="str">
        <f>VLOOKUP(Tb_prod[[#This Row],[Región]],AUX_REGION[],2,0)</f>
        <v>Minera Staff</v>
      </c>
      <c r="C488" t="s">
        <v>27</v>
      </c>
      <c r="D488" t="s">
        <v>13</v>
      </c>
      <c r="E488" t="s">
        <v>19</v>
      </c>
      <c r="F488" t="s">
        <v>24</v>
      </c>
      <c r="G488" t="s">
        <v>16</v>
      </c>
      <c r="H488" s="23">
        <v>4073.28</v>
      </c>
      <c r="I488" s="23">
        <v>3319.72</v>
      </c>
      <c r="J488" s="23">
        <v>73335.13</v>
      </c>
      <c r="K488" s="23">
        <v>1047.23</v>
      </c>
      <c r="L488" s="10">
        <v>9319853160</v>
      </c>
      <c r="M488" s="9">
        <v>174845949570</v>
      </c>
      <c r="N488" s="12">
        <f xml:space="preserve"> Tb_prod[[#This Row],[Costo_Mantenimiento_CLP]] / Tb_prod[[#This Row],[Dias_Operación_Mes]]</f>
        <v>372794126.39999998</v>
      </c>
      <c r="O488" s="11">
        <f>Tb_prod[[#This Row],[Costo_Operativo_CLP]] / Tb_prod[[#This Row],[Producción_Toneladas]]</f>
        <v>42925099.568406783</v>
      </c>
      <c r="P488">
        <v>212</v>
      </c>
      <c r="Q488">
        <v>25</v>
      </c>
      <c r="R488" s="6">
        <v>45680</v>
      </c>
      <c r="S488" t="str">
        <f t="shared" si="18"/>
        <v>jueves</v>
      </c>
      <c r="T488" t="str">
        <f t="shared" si="17"/>
        <v>enero</v>
      </c>
      <c r="U488">
        <v>83.72</v>
      </c>
      <c r="V488">
        <f xml:space="preserve"> Tb_prod[[#This Row],[Emisiones_CO2_ton]] / Tb_prod[[#This Row],[Cantidad_Empleados]]</f>
        <v>4.9397641509433967</v>
      </c>
      <c r="W488" t="str">
        <f>IF(Tb_prod[[#This Row],[Recuperación_Metal_Porcentaje]]&gt;90,"Alta",IF(Tb_prod[[#This Row],[Recuperación_Metal_Porcentaje]]&gt;75,"Media","Baja"))</f>
        <v>Media</v>
      </c>
      <c r="X488" t="str">
        <f>IF(AND(Tb_prod[[#This Row],[Consumo_Energia_MWh]]&lt;=2000,Tb_prod[[#This Row],[Riesgo_Ambiental]]="Alto"),"Crítica","Normal")</f>
        <v>Normal</v>
      </c>
    </row>
    <row r="489" spans="1:24">
      <c r="A489">
        <v>161</v>
      </c>
      <c r="B489" t="str">
        <f>VLOOKUP(Tb_prod[[#This Row],[Región]],AUX_REGION[],2,0)</f>
        <v>Minera del Norte</v>
      </c>
      <c r="C489" t="s">
        <v>21</v>
      </c>
      <c r="D489" t="s">
        <v>18</v>
      </c>
      <c r="E489" t="s">
        <v>14</v>
      </c>
      <c r="F489" t="s">
        <v>15</v>
      </c>
      <c r="G489" t="s">
        <v>16</v>
      </c>
      <c r="H489" s="23">
        <v>4056.39</v>
      </c>
      <c r="I489" s="23">
        <v>1956.16</v>
      </c>
      <c r="J489" s="23">
        <v>73451.570000000007</v>
      </c>
      <c r="K489" s="23">
        <v>750.58</v>
      </c>
      <c r="L489" s="10">
        <v>1353450401938.8899</v>
      </c>
      <c r="M489" s="9">
        <v>174156691140</v>
      </c>
      <c r="N489" s="12">
        <f xml:space="preserve"> Tb_prod[[#This Row],[Costo_Mantenimiento_CLP]] / Tb_prod[[#This Row],[Dias_Operación_Mes]]</f>
        <v>61520472815.404083</v>
      </c>
      <c r="O489" s="11">
        <f>Tb_prod[[#This Row],[Costo_Operativo_CLP]] / Tb_prod[[#This Row],[Producción_Toneladas]]</f>
        <v>42933911.961127996</v>
      </c>
      <c r="P489">
        <v>232</v>
      </c>
      <c r="Q489">
        <v>22</v>
      </c>
      <c r="R489" s="6">
        <v>45124</v>
      </c>
      <c r="S489" t="str">
        <f t="shared" si="18"/>
        <v>lunes</v>
      </c>
      <c r="T489" t="str">
        <f t="shared" si="17"/>
        <v>julio</v>
      </c>
      <c r="U489">
        <v>91.52</v>
      </c>
      <c r="V489">
        <f xml:space="preserve"> Tb_prod[[#This Row],[Emisiones_CO2_ton]] / Tb_prod[[#This Row],[Cantidad_Empleados]]</f>
        <v>3.2352586206896552</v>
      </c>
      <c r="W489" t="str">
        <f>IF(Tb_prod[[#This Row],[Recuperación_Metal_Porcentaje]]&gt;90,"Alta",IF(Tb_prod[[#This Row],[Recuperación_Metal_Porcentaje]]&gt;75,"Media","Baja"))</f>
        <v>Alta</v>
      </c>
      <c r="X489" t="str">
        <f>IF(AND(Tb_prod[[#This Row],[Consumo_Energia_MWh]]&lt;=2000,Tb_prod[[#This Row],[Riesgo_Ambiental]]="Alto"),"Crítica","Normal")</f>
        <v>Normal</v>
      </c>
    </row>
    <row r="490" spans="1:24">
      <c r="A490">
        <v>130</v>
      </c>
      <c r="B490" t="str">
        <f>VLOOKUP(Tb_prod[[#This Row],[Región]],AUX_REGION[],2,0)</f>
        <v>Minera Romero</v>
      </c>
      <c r="C490" t="s">
        <v>17</v>
      </c>
      <c r="D490" t="s">
        <v>23</v>
      </c>
      <c r="E490" t="s">
        <v>19</v>
      </c>
      <c r="F490" t="s">
        <v>15</v>
      </c>
      <c r="G490" t="s">
        <v>16</v>
      </c>
      <c r="H490" s="23">
        <v>3886.23</v>
      </c>
      <c r="I490" s="23">
        <v>2787.07</v>
      </c>
      <c r="J490" s="23">
        <v>73680.92</v>
      </c>
      <c r="K490" s="23">
        <v>1130.7</v>
      </c>
      <c r="L490" s="10">
        <v>30390339330</v>
      </c>
      <c r="M490" s="9">
        <v>1230988177260</v>
      </c>
      <c r="N490" s="12">
        <f xml:space="preserve"> Tb_prod[[#This Row],[Costo_Mantenimiento_CLP]] / Tb_prod[[#This Row],[Dias_Operación_Mes]]</f>
        <v>1381379060.4545455</v>
      </c>
      <c r="O490" s="11">
        <f>Tb_prod[[#This Row],[Costo_Operativo_CLP]] / Tb_prod[[#This Row],[Producción_Toneladas]]</f>
        <v>316756387.87719721</v>
      </c>
      <c r="P490">
        <v>155</v>
      </c>
      <c r="Q490">
        <v>22</v>
      </c>
      <c r="R490" s="6">
        <v>45030</v>
      </c>
      <c r="S490" t="str">
        <f t="shared" si="18"/>
        <v>viernes</v>
      </c>
      <c r="T490" t="str">
        <f t="shared" si="17"/>
        <v>abril</v>
      </c>
      <c r="U490">
        <v>78.89</v>
      </c>
      <c r="V490">
        <f xml:space="preserve"> Tb_prod[[#This Row],[Emisiones_CO2_ton]] / Tb_prod[[#This Row],[Cantidad_Empleados]]</f>
        <v>7.2948387096774194</v>
      </c>
      <c r="W490" t="str">
        <f>IF(Tb_prod[[#This Row],[Recuperación_Metal_Porcentaje]]&gt;90,"Alta",IF(Tb_prod[[#This Row],[Recuperación_Metal_Porcentaje]]&gt;75,"Media","Baja"))</f>
        <v>Media</v>
      </c>
      <c r="X490" t="str">
        <f>IF(AND(Tb_prod[[#This Row],[Consumo_Energia_MWh]]&lt;=2000,Tb_prod[[#This Row],[Riesgo_Ambiental]]="Alto"),"Crítica","Normal")</f>
        <v>Normal</v>
      </c>
    </row>
    <row r="491" spans="1:24">
      <c r="A491">
        <v>63</v>
      </c>
      <c r="B491" t="str">
        <f>VLOOKUP(Tb_prod[[#This Row],[Región]],AUX_REGION[],2,0)</f>
        <v>Minera Romero</v>
      </c>
      <c r="C491" t="s">
        <v>17</v>
      </c>
      <c r="D491" t="s">
        <v>23</v>
      </c>
      <c r="E491" t="s">
        <v>19</v>
      </c>
      <c r="F491" t="s">
        <v>26</v>
      </c>
      <c r="G491" t="s">
        <v>22</v>
      </c>
      <c r="H491" s="23">
        <v>4343.5</v>
      </c>
      <c r="I491" s="23">
        <v>2145.12</v>
      </c>
      <c r="J491" s="23">
        <v>74729.87</v>
      </c>
      <c r="K491" s="23">
        <v>1076.82</v>
      </c>
      <c r="L491" s="10">
        <v>23459508180</v>
      </c>
      <c r="M491" s="9">
        <v>14123021040</v>
      </c>
      <c r="N491" s="12">
        <f xml:space="preserve"> Tb_prod[[#This Row],[Costo_Mantenimiento_CLP]] / Tb_prod[[#This Row],[Dias_Operación_Mes]]</f>
        <v>1117119437.1428571</v>
      </c>
      <c r="O491" s="11">
        <f>Tb_prod[[#This Row],[Costo_Operativo_CLP]] / Tb_prod[[#This Row],[Producción_Toneladas]]</f>
        <v>3251530.1116611026</v>
      </c>
      <c r="P491">
        <v>88</v>
      </c>
      <c r="Q491">
        <v>21</v>
      </c>
      <c r="R491" s="6">
        <v>45646</v>
      </c>
      <c r="S491" t="str">
        <f t="shared" si="18"/>
        <v>viernes</v>
      </c>
      <c r="T491" t="str">
        <f t="shared" si="17"/>
        <v>diciembre</v>
      </c>
      <c r="U491">
        <v>79.959999999999994</v>
      </c>
      <c r="V491">
        <f xml:space="preserve"> Tb_prod[[#This Row],[Emisiones_CO2_ton]] / Tb_prod[[#This Row],[Cantidad_Empleados]]</f>
        <v>12.236590909090909</v>
      </c>
      <c r="W491" t="str">
        <f>IF(Tb_prod[[#This Row],[Recuperación_Metal_Porcentaje]]&gt;90,"Alta",IF(Tb_prod[[#This Row],[Recuperación_Metal_Porcentaje]]&gt;75,"Media","Baja"))</f>
        <v>Media</v>
      </c>
      <c r="X491" t="str">
        <f>IF(AND(Tb_prod[[#This Row],[Consumo_Energia_MWh]]&lt;=2000,Tb_prod[[#This Row],[Riesgo_Ambiental]]="Alto"),"Crítica","Normal")</f>
        <v>Normal</v>
      </c>
    </row>
    <row r="492" spans="1:24">
      <c r="A492">
        <v>414</v>
      </c>
      <c r="B492" t="str">
        <f>VLOOKUP(Tb_prod[[#This Row],[Región]],AUX_REGION[],2,0)</f>
        <v>Minera Staff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s="23">
        <v>4359.01</v>
      </c>
      <c r="I492" s="23">
        <v>2439.2800000000002</v>
      </c>
      <c r="J492" s="23">
        <v>74731.509999999995</v>
      </c>
      <c r="K492" s="23">
        <v>903.23</v>
      </c>
      <c r="L492" s="10">
        <v>9358626600</v>
      </c>
      <c r="M492" s="9">
        <v>109874473470</v>
      </c>
      <c r="N492" s="12">
        <f xml:space="preserve"> Tb_prod[[#This Row],[Costo_Mantenimiento_CLP]] / Tb_prod[[#This Row],[Dias_Operación_Mes]]</f>
        <v>374345064</v>
      </c>
      <c r="O492" s="11">
        <f>Tb_prod[[#This Row],[Costo_Operativo_CLP]] / Tb_prod[[#This Row],[Producción_Toneladas]]</f>
        <v>25206290.756387342</v>
      </c>
      <c r="P492">
        <v>235</v>
      </c>
      <c r="Q492">
        <v>25</v>
      </c>
      <c r="R492" s="6">
        <v>45522</v>
      </c>
      <c r="S492" t="str">
        <f t="shared" si="18"/>
        <v>domingo</v>
      </c>
      <c r="T492" t="str">
        <f t="shared" si="17"/>
        <v>agosto</v>
      </c>
      <c r="U492">
        <v>96.87</v>
      </c>
      <c r="V492">
        <f xml:space="preserve"> Tb_prod[[#This Row],[Emisiones_CO2_ton]] / Tb_prod[[#This Row],[Cantidad_Empleados]]</f>
        <v>3.8435319148936169</v>
      </c>
      <c r="W492" t="str">
        <f>IF(Tb_prod[[#This Row],[Recuperación_Metal_Porcentaje]]&gt;90,"Alta",IF(Tb_prod[[#This Row],[Recuperación_Metal_Porcentaje]]&gt;75,"Media","Baja"))</f>
        <v>Alta</v>
      </c>
      <c r="X492" t="str">
        <f>IF(AND(Tb_prod[[#This Row],[Consumo_Energia_MWh]]&lt;=2000,Tb_prod[[#This Row],[Riesgo_Ambiental]]="Alto"),"Crítica","Normal")</f>
        <v>Normal</v>
      </c>
    </row>
    <row r="493" spans="1:24">
      <c r="A493">
        <v>219</v>
      </c>
      <c r="B493" t="str">
        <f>VLOOKUP(Tb_prod[[#This Row],[Región]],AUX_REGION[],2,0)</f>
        <v>Minera del Norte</v>
      </c>
      <c r="C493" t="s">
        <v>27</v>
      </c>
      <c r="D493" t="s">
        <v>18</v>
      </c>
      <c r="E493" t="s">
        <v>14</v>
      </c>
      <c r="F493" t="s">
        <v>24</v>
      </c>
      <c r="G493" t="s">
        <v>22</v>
      </c>
      <c r="H493" s="23">
        <v>4085.76</v>
      </c>
      <c r="I493" s="23">
        <v>2926.72</v>
      </c>
      <c r="J493" s="23">
        <v>76530.69</v>
      </c>
      <c r="K493" s="23">
        <v>1012.74</v>
      </c>
      <c r="L493" s="10">
        <v>32467908420</v>
      </c>
      <c r="M493" s="9">
        <v>116075398320</v>
      </c>
      <c r="N493" s="12">
        <f xml:space="preserve"> Tb_prod[[#This Row],[Costo_Mantenimiento_CLP]] / Tb_prod[[#This Row],[Dias_Operación_Mes]]</f>
        <v>1248765708.4615386</v>
      </c>
      <c r="O493" s="11">
        <f>Tb_prod[[#This Row],[Costo_Operativo_CLP]] / Tb_prod[[#This Row],[Producción_Toneladas]]</f>
        <v>28409744.654605262</v>
      </c>
      <c r="P493">
        <v>125</v>
      </c>
      <c r="Q493">
        <v>26</v>
      </c>
      <c r="R493" s="6">
        <v>45614</v>
      </c>
      <c r="S493" t="str">
        <f t="shared" si="18"/>
        <v>lunes</v>
      </c>
      <c r="T493" t="str">
        <f t="shared" si="17"/>
        <v>noviembre</v>
      </c>
      <c r="U493">
        <v>73.459999999999994</v>
      </c>
      <c r="V493">
        <f xml:space="preserve"> Tb_prod[[#This Row],[Emisiones_CO2_ton]] / Tb_prod[[#This Row],[Cantidad_Empleados]]</f>
        <v>8.1019199999999998</v>
      </c>
      <c r="W493" t="str">
        <f>IF(Tb_prod[[#This Row],[Recuperación_Metal_Porcentaje]]&gt;90,"Alta",IF(Tb_prod[[#This Row],[Recuperación_Metal_Porcentaje]]&gt;75,"Media","Baja"))</f>
        <v>Baja</v>
      </c>
      <c r="X493" t="str">
        <f>IF(AND(Tb_prod[[#This Row],[Consumo_Energia_MWh]]&lt;=2000,Tb_prod[[#This Row],[Riesgo_Ambiental]]="Alto"),"Crítica","Normal")</f>
        <v>Normal</v>
      </c>
    </row>
    <row r="494" spans="1:24">
      <c r="A494">
        <v>378</v>
      </c>
      <c r="B494" t="str">
        <f>VLOOKUP(Tb_prod[[#This Row],[Región]],AUX_REGION[],2,0)</f>
        <v>Minera Staff</v>
      </c>
      <c r="C494" t="s">
        <v>25</v>
      </c>
      <c r="D494" t="s">
        <v>13</v>
      </c>
      <c r="E494" t="s">
        <v>19</v>
      </c>
      <c r="F494" t="s">
        <v>26</v>
      </c>
      <c r="G494" t="s">
        <v>16</v>
      </c>
      <c r="H494" s="23">
        <v>3651.26</v>
      </c>
      <c r="I494" s="23">
        <v>1575.62</v>
      </c>
      <c r="J494" s="23">
        <v>76930.7</v>
      </c>
      <c r="K494" s="23">
        <v>631.41999999999996</v>
      </c>
      <c r="L494" s="10">
        <v>28411645950</v>
      </c>
      <c r="M494" s="9">
        <v>33428223810</v>
      </c>
      <c r="N494" s="12">
        <f xml:space="preserve"> Tb_prod[[#This Row],[Costo_Mantenimiento_CLP]] / Tb_prod[[#This Row],[Dias_Operación_Mes]]</f>
        <v>1052283183.3333334</v>
      </c>
      <c r="O494" s="11">
        <f>Tb_prod[[#This Row],[Costo_Operativo_CLP]] / Tb_prod[[#This Row],[Producción_Toneladas]]</f>
        <v>9155257.0372967143</v>
      </c>
      <c r="P494">
        <v>243</v>
      </c>
      <c r="Q494">
        <v>27</v>
      </c>
      <c r="R494" s="6">
        <v>45896</v>
      </c>
      <c r="S494" t="str">
        <f t="shared" si="18"/>
        <v>miércoles</v>
      </c>
      <c r="T494" t="str">
        <f t="shared" si="17"/>
        <v>agosto</v>
      </c>
      <c r="U494">
        <v>78.78</v>
      </c>
      <c r="V494">
        <f xml:space="preserve"> Tb_prod[[#This Row],[Emisiones_CO2_ton]] / Tb_prod[[#This Row],[Cantidad_Empleados]]</f>
        <v>2.5984362139917692</v>
      </c>
      <c r="W494" t="str">
        <f>IF(Tb_prod[[#This Row],[Recuperación_Metal_Porcentaje]]&gt;90,"Alta",IF(Tb_prod[[#This Row],[Recuperación_Metal_Porcentaje]]&gt;75,"Media","Baja"))</f>
        <v>Media</v>
      </c>
      <c r="X494" t="str">
        <f>IF(AND(Tb_prod[[#This Row],[Consumo_Energia_MWh]]&lt;=2000,Tb_prod[[#This Row],[Riesgo_Ambiental]]="Alto"),"Crítica","Normal")</f>
        <v>Normal</v>
      </c>
    </row>
    <row r="495" spans="1:24">
      <c r="A495">
        <v>451</v>
      </c>
      <c r="B495" t="str">
        <f>VLOOKUP(Tb_prod[[#This Row],[Región]],AUX_REGION[],2,0)</f>
        <v>Minera Staff</v>
      </c>
      <c r="C495" t="s">
        <v>21</v>
      </c>
      <c r="D495" t="s">
        <v>13</v>
      </c>
      <c r="E495" t="s">
        <v>14</v>
      </c>
      <c r="F495" t="s">
        <v>24</v>
      </c>
      <c r="G495" t="s">
        <v>22</v>
      </c>
      <c r="H495" s="23">
        <v>5880.02</v>
      </c>
      <c r="I495" s="23">
        <v>1063.47</v>
      </c>
      <c r="J495" s="23">
        <v>78781.98</v>
      </c>
      <c r="K495" s="23">
        <v>1316.38</v>
      </c>
      <c r="L495" s="10">
        <v>26949950370</v>
      </c>
      <c r="M495" s="9">
        <v>174368223450</v>
      </c>
      <c r="N495" s="12">
        <f xml:space="preserve"> Tb_prod[[#This Row],[Costo_Mantenimiento_CLP]] / Tb_prod[[#This Row],[Dias_Operación_Mes]]</f>
        <v>1171736972.6086957</v>
      </c>
      <c r="O495" s="11">
        <f>Tb_prod[[#This Row],[Costo_Operativo_CLP]] / Tb_prod[[#This Row],[Producción_Toneladas]]</f>
        <v>29654358.905241817</v>
      </c>
      <c r="P495">
        <v>167</v>
      </c>
      <c r="Q495">
        <v>23</v>
      </c>
      <c r="R495" s="6">
        <v>45096</v>
      </c>
      <c r="S495" t="str">
        <f t="shared" si="18"/>
        <v>lunes</v>
      </c>
      <c r="T495" t="str">
        <f t="shared" si="17"/>
        <v>junio</v>
      </c>
      <c r="U495">
        <v>91.15</v>
      </c>
      <c r="V495">
        <f xml:space="preserve"> Tb_prod[[#This Row],[Emisiones_CO2_ton]] / Tb_prod[[#This Row],[Cantidad_Empleados]]</f>
        <v>7.8825149700598809</v>
      </c>
      <c r="W495" t="str">
        <f>IF(Tb_prod[[#This Row],[Recuperación_Metal_Porcentaje]]&gt;90,"Alta",IF(Tb_prod[[#This Row],[Recuperación_Metal_Porcentaje]]&gt;75,"Media","Baja"))</f>
        <v>Alta</v>
      </c>
      <c r="X495" t="str">
        <f>IF(AND(Tb_prod[[#This Row],[Consumo_Energia_MWh]]&lt;=2000,Tb_prod[[#This Row],[Riesgo_Ambiental]]="Alto"),"Crítica","Normal")</f>
        <v>Normal</v>
      </c>
    </row>
    <row r="496" spans="1:24">
      <c r="A496">
        <v>375</v>
      </c>
      <c r="B496" t="str">
        <f>VLOOKUP(Tb_prod[[#This Row],[Región]],AUX_REGION[],2,0)</f>
        <v>Minera del Norte</v>
      </c>
      <c r="C496" t="s">
        <v>27</v>
      </c>
      <c r="D496" t="s">
        <v>18</v>
      </c>
      <c r="E496" t="s">
        <v>14</v>
      </c>
      <c r="F496" t="s">
        <v>26</v>
      </c>
      <c r="G496" t="s">
        <v>20</v>
      </c>
      <c r="H496" s="23">
        <v>6184.85</v>
      </c>
      <c r="I496" s="23">
        <v>1185.56</v>
      </c>
      <c r="J496" s="23">
        <v>79570.55</v>
      </c>
      <c r="K496" s="23">
        <v>1410.82</v>
      </c>
      <c r="L496" s="10">
        <v>16188618150</v>
      </c>
      <c r="M496" s="9">
        <v>52287026220</v>
      </c>
      <c r="N496" s="12">
        <f xml:space="preserve"> Tb_prod[[#This Row],[Costo_Mantenimiento_CLP]] / Tb_prod[[#This Row],[Dias_Operación_Mes]]</f>
        <v>622639159.61538458</v>
      </c>
      <c r="O496" s="11">
        <f>Tb_prod[[#This Row],[Costo_Operativo_CLP]] / Tb_prod[[#This Row],[Producción_Toneladas]]</f>
        <v>8454049.204103576</v>
      </c>
      <c r="P496">
        <v>98</v>
      </c>
      <c r="Q496">
        <v>26</v>
      </c>
      <c r="R496" s="6">
        <v>45883</v>
      </c>
      <c r="S496" t="str">
        <f t="shared" si="18"/>
        <v>jueves</v>
      </c>
      <c r="T496" t="str">
        <f t="shared" si="17"/>
        <v>agosto</v>
      </c>
      <c r="U496">
        <v>75.94</v>
      </c>
      <c r="V496">
        <f xml:space="preserve"> Tb_prod[[#This Row],[Emisiones_CO2_ton]] / Tb_prod[[#This Row],[Cantidad_Empleados]]</f>
        <v>14.396122448979591</v>
      </c>
      <c r="W496" t="str">
        <f>IF(Tb_prod[[#This Row],[Recuperación_Metal_Porcentaje]]&gt;90,"Alta",IF(Tb_prod[[#This Row],[Recuperación_Metal_Porcentaje]]&gt;75,"Media","Baja"))</f>
        <v>Media</v>
      </c>
      <c r="X496" t="str">
        <f>IF(AND(Tb_prod[[#This Row],[Consumo_Energia_MWh]]&lt;=2000,Tb_prod[[#This Row],[Riesgo_Ambiental]]="Alto"),"Crítica","Normal")</f>
        <v>Crítica</v>
      </c>
    </row>
    <row r="497" spans="1:24">
      <c r="A497">
        <v>452</v>
      </c>
      <c r="B497" t="str">
        <f>VLOOKUP(Tb_prod[[#This Row],[Región]],AUX_REGION[],2,0)</f>
        <v>Minera Romero</v>
      </c>
      <c r="C497" t="s">
        <v>12</v>
      </c>
      <c r="D497" t="s">
        <v>23</v>
      </c>
      <c r="E497" t="s">
        <v>19</v>
      </c>
      <c r="F497" t="s">
        <v>26</v>
      </c>
      <c r="G497" t="s">
        <v>20</v>
      </c>
      <c r="H497" s="23">
        <v>6021.51</v>
      </c>
      <c r="I497" s="23">
        <v>1143.18</v>
      </c>
      <c r="J497" s="23">
        <v>82089.25</v>
      </c>
      <c r="K497" s="23">
        <v>1059.67</v>
      </c>
      <c r="L497" s="10">
        <v>7588000800</v>
      </c>
      <c r="M497" s="9">
        <v>116581582620</v>
      </c>
      <c r="N497" s="12">
        <f xml:space="preserve"> Tb_prod[[#This Row],[Costo_Mantenimiento_CLP]] / Tb_prod[[#This Row],[Dias_Operación_Mes]]</f>
        <v>281037066.66666669</v>
      </c>
      <c r="O497" s="11">
        <f>Tb_prod[[#This Row],[Costo_Operativo_CLP]] / Tb_prod[[#This Row],[Producción_Toneladas]]</f>
        <v>19360855.104450542</v>
      </c>
      <c r="P497">
        <v>283</v>
      </c>
      <c r="Q497">
        <v>27</v>
      </c>
      <c r="R497" s="6">
        <v>45872</v>
      </c>
      <c r="S497" t="str">
        <f t="shared" si="18"/>
        <v>domingo</v>
      </c>
      <c r="T497" t="str">
        <f t="shared" si="17"/>
        <v>agosto</v>
      </c>
      <c r="U497">
        <v>84.51</v>
      </c>
      <c r="V497">
        <f xml:space="preserve"> Tb_prod[[#This Row],[Emisiones_CO2_ton]] / Tb_prod[[#This Row],[Cantidad_Empleados]]</f>
        <v>3.7444169611307423</v>
      </c>
      <c r="W497" t="str">
        <f>IF(Tb_prod[[#This Row],[Recuperación_Metal_Porcentaje]]&gt;90,"Alta",IF(Tb_prod[[#This Row],[Recuperación_Metal_Porcentaje]]&gt;75,"Media","Baja"))</f>
        <v>Media</v>
      </c>
      <c r="X497" t="str">
        <f>IF(AND(Tb_prod[[#This Row],[Consumo_Energia_MWh]]&lt;=2000,Tb_prod[[#This Row],[Riesgo_Ambiental]]="Alto"),"Crítica","Normal")</f>
        <v>Crítica</v>
      </c>
    </row>
    <row r="498" spans="1:24">
      <c r="A498">
        <v>367</v>
      </c>
      <c r="B498" t="str">
        <f>VLOOKUP(Tb_prod[[#This Row],[Región]],AUX_REGION[],2,0)</f>
        <v>Minera Romero</v>
      </c>
      <c r="C498" t="s">
        <v>12</v>
      </c>
      <c r="D498" t="s">
        <v>23</v>
      </c>
      <c r="E498" t="s">
        <v>14</v>
      </c>
      <c r="F498" t="s">
        <v>24</v>
      </c>
      <c r="G498" t="s">
        <v>16</v>
      </c>
      <c r="H498" s="23">
        <v>4498.24</v>
      </c>
      <c r="I498" s="23">
        <v>1230.24</v>
      </c>
      <c r="J498" s="23">
        <v>83315.41</v>
      </c>
      <c r="K498" s="23">
        <v>1440.71</v>
      </c>
      <c r="L498" s="10">
        <v>122587323961656</v>
      </c>
      <c r="M498" s="9">
        <v>87661784250</v>
      </c>
      <c r="N498" s="12">
        <f xml:space="preserve"> Tb_prod[[#This Row],[Costo_Mantenimiento_CLP]] / Tb_prod[[#This Row],[Dias_Operación_Mes]]</f>
        <v>5837491617221.7139</v>
      </c>
      <c r="O498" s="11">
        <f>Tb_prod[[#This Row],[Costo_Operativo_CLP]] / Tb_prod[[#This Row],[Producción_Toneladas]]</f>
        <v>19488018.480561286</v>
      </c>
      <c r="P498">
        <v>103</v>
      </c>
      <c r="Q498">
        <v>21</v>
      </c>
      <c r="R498" s="6">
        <v>45262</v>
      </c>
      <c r="S498" t="str">
        <f t="shared" si="18"/>
        <v>sábado</v>
      </c>
      <c r="T498" t="str">
        <f t="shared" si="17"/>
        <v>diciembre</v>
      </c>
      <c r="U498">
        <v>89.3</v>
      </c>
      <c r="V498">
        <f xml:space="preserve"> Tb_prod[[#This Row],[Emisiones_CO2_ton]] / Tb_prod[[#This Row],[Cantidad_Empleados]]</f>
        <v>13.98747572815534</v>
      </c>
      <c r="W498" t="str">
        <f>IF(Tb_prod[[#This Row],[Recuperación_Metal_Porcentaje]]&gt;90,"Alta",IF(Tb_prod[[#This Row],[Recuperación_Metal_Porcentaje]]&gt;75,"Media","Baja"))</f>
        <v>Media</v>
      </c>
      <c r="X498" t="str">
        <f>IF(AND(Tb_prod[[#This Row],[Consumo_Energia_MWh]]&lt;=2000,Tb_prod[[#This Row],[Riesgo_Ambiental]]="Alto"),"Crítica","Normal")</f>
        <v>Normal</v>
      </c>
    </row>
    <row r="499" spans="1:24">
      <c r="A499">
        <v>202</v>
      </c>
      <c r="B499" t="str">
        <f>VLOOKUP(Tb_prod[[#This Row],[Región]],AUX_REGION[],2,0)</f>
        <v>Minera Romero</v>
      </c>
      <c r="C499" t="s">
        <v>21</v>
      </c>
      <c r="D499" t="s">
        <v>23</v>
      </c>
      <c r="E499" t="s">
        <v>14</v>
      </c>
      <c r="F499" t="s">
        <v>15</v>
      </c>
      <c r="G499" t="s">
        <v>20</v>
      </c>
      <c r="H499" s="23">
        <v>6731.88</v>
      </c>
      <c r="I499" s="23">
        <v>2861.15</v>
      </c>
      <c r="J499" s="23">
        <v>84758.22</v>
      </c>
      <c r="K499" s="23">
        <v>1381.62</v>
      </c>
      <c r="L499" s="10">
        <v>18658974150</v>
      </c>
      <c r="M499" s="9">
        <v>172888688340</v>
      </c>
      <c r="N499" s="12">
        <f xml:space="preserve"> Tb_prod[[#This Row],[Costo_Mantenimiento_CLP]] / Tb_prod[[#This Row],[Dias_Operación_Mes]]</f>
        <v>666391933.92857146</v>
      </c>
      <c r="O499" s="11">
        <f>Tb_prod[[#This Row],[Costo_Operativo_CLP]] / Tb_prod[[#This Row],[Producción_Toneladas]]</f>
        <v>25682081.133353535</v>
      </c>
      <c r="P499">
        <v>275</v>
      </c>
      <c r="Q499">
        <v>28</v>
      </c>
      <c r="R499" s="6">
        <v>45584</v>
      </c>
      <c r="S499" t="str">
        <f t="shared" si="18"/>
        <v>sábado</v>
      </c>
      <c r="T499" t="str">
        <f t="shared" si="17"/>
        <v>octubre</v>
      </c>
      <c r="U499">
        <v>93.73</v>
      </c>
      <c r="V499">
        <f xml:space="preserve"> Tb_prod[[#This Row],[Emisiones_CO2_ton]] / Tb_prod[[#This Row],[Cantidad_Empleados]]</f>
        <v>5.0240727272727268</v>
      </c>
      <c r="W499" t="str">
        <f>IF(Tb_prod[[#This Row],[Recuperación_Metal_Porcentaje]]&gt;90,"Alta",IF(Tb_prod[[#This Row],[Recuperación_Metal_Porcentaje]]&gt;75,"Media","Baja"))</f>
        <v>Alta</v>
      </c>
      <c r="X499" t="str">
        <f>IF(AND(Tb_prod[[#This Row],[Consumo_Energia_MWh]]&lt;=2000,Tb_prod[[#This Row],[Riesgo_Ambiental]]="Alto"),"Crítica","Normal")</f>
        <v>Normal</v>
      </c>
    </row>
    <row r="500" spans="1:24">
      <c r="A500">
        <v>337</v>
      </c>
      <c r="B500" t="str">
        <f>VLOOKUP(Tb_prod[[#This Row],[Región]],AUX_REGION[],2,0)</f>
        <v>Minera Staff</v>
      </c>
      <c r="C500" t="s">
        <v>27</v>
      </c>
      <c r="D500" t="s">
        <v>13</v>
      </c>
      <c r="E500" t="s">
        <v>19</v>
      </c>
      <c r="F500" t="s">
        <v>24</v>
      </c>
      <c r="G500" t="s">
        <v>16</v>
      </c>
      <c r="H500" s="23">
        <v>7957.5</v>
      </c>
      <c r="I500" s="23">
        <v>1858.01</v>
      </c>
      <c r="J500" s="23">
        <v>85557.3</v>
      </c>
      <c r="K500" s="23">
        <v>1045.3</v>
      </c>
      <c r="L500" s="10">
        <v>25420715550</v>
      </c>
      <c r="M500" s="9">
        <v>156768186060</v>
      </c>
      <c r="N500" s="12">
        <f xml:space="preserve"> Tb_prod[[#This Row],[Costo_Mantenimiento_CLP]] / Tb_prod[[#This Row],[Dias_Operación_Mes]]</f>
        <v>1016828622</v>
      </c>
      <c r="O500" s="11">
        <f>Tb_prod[[#This Row],[Costo_Operativo_CLP]] / Tb_prod[[#This Row],[Producción_Toneladas]]</f>
        <v>19700683.136663526</v>
      </c>
      <c r="P500">
        <v>239</v>
      </c>
      <c r="Q500">
        <v>25</v>
      </c>
      <c r="R500" s="6">
        <v>45716</v>
      </c>
      <c r="S500" t="str">
        <f t="shared" si="18"/>
        <v>viernes</v>
      </c>
      <c r="T500" t="str">
        <f t="shared" si="17"/>
        <v>febrero</v>
      </c>
      <c r="U500">
        <v>87.06</v>
      </c>
      <c r="V500">
        <f xml:space="preserve"> Tb_prod[[#This Row],[Emisiones_CO2_ton]] / Tb_prod[[#This Row],[Cantidad_Empleados]]</f>
        <v>4.3736401673640168</v>
      </c>
      <c r="W500" t="str">
        <f>IF(Tb_prod[[#This Row],[Recuperación_Metal_Porcentaje]]&gt;90,"Alta",IF(Tb_prod[[#This Row],[Recuperación_Metal_Porcentaje]]&gt;75,"Media","Baja"))</f>
        <v>Media</v>
      </c>
      <c r="X500" t="str">
        <f>IF(AND(Tb_prod[[#This Row],[Consumo_Energia_MWh]]&lt;=2000,Tb_prod[[#This Row],[Riesgo_Ambiental]]="Alto"),"Crítica","Normal")</f>
        <v>Normal</v>
      </c>
    </row>
    <row r="501" spans="1:24">
      <c r="A501">
        <v>307</v>
      </c>
      <c r="B501" t="str">
        <f>VLOOKUP(Tb_prod[[#This Row],[Región]],AUX_REGION[],2,0)</f>
        <v>Minera del Norte</v>
      </c>
      <c r="C501" t="s">
        <v>27</v>
      </c>
      <c r="D501" t="s">
        <v>18</v>
      </c>
      <c r="E501" t="s">
        <v>19</v>
      </c>
      <c r="F501" t="s">
        <v>24</v>
      </c>
      <c r="G501" t="s">
        <v>20</v>
      </c>
      <c r="H501" s="23">
        <v>2572.31</v>
      </c>
      <c r="I501" s="23">
        <v>831.27</v>
      </c>
      <c r="J501" s="23">
        <v>87111.7</v>
      </c>
      <c r="K501" s="23">
        <v>1104.94</v>
      </c>
      <c r="L501" s="10">
        <v>6394258170</v>
      </c>
      <c r="M501" s="9">
        <v>138923280720</v>
      </c>
      <c r="N501" s="12">
        <f xml:space="preserve"> Tb_prod[[#This Row],[Costo_Mantenimiento_CLP]] / Tb_prod[[#This Row],[Dias_Operación_Mes]]</f>
        <v>220491661.03448275</v>
      </c>
      <c r="O501" s="11">
        <f>Tb_prod[[#This Row],[Costo_Operativo_CLP]] / Tb_prod[[#This Row],[Producción_Toneladas]]</f>
        <v>54007207.809323139</v>
      </c>
      <c r="P501">
        <v>272</v>
      </c>
      <c r="Q501">
        <v>29</v>
      </c>
      <c r="R501" s="6">
        <v>44931</v>
      </c>
      <c r="S501" t="str">
        <f t="shared" si="18"/>
        <v>jueves</v>
      </c>
      <c r="T501" t="str">
        <f t="shared" si="17"/>
        <v>enero</v>
      </c>
      <c r="U501">
        <v>89.82</v>
      </c>
      <c r="V501">
        <f xml:space="preserve"> Tb_prod[[#This Row],[Emisiones_CO2_ton]] / Tb_prod[[#This Row],[Cantidad_Empleados]]</f>
        <v>4.0622794117647061</v>
      </c>
      <c r="W501" t="str">
        <f>IF(Tb_prod[[#This Row],[Recuperación_Metal_Porcentaje]]&gt;90,"Alta",IF(Tb_prod[[#This Row],[Recuperación_Metal_Porcentaje]]&gt;75,"Media","Baja"))</f>
        <v>Media</v>
      </c>
      <c r="X501" t="str">
        <f>IF(AND(Tb_prod[[#This Row],[Consumo_Energia_MWh]]&lt;=2000,Tb_prod[[#This Row],[Riesgo_Ambiental]]="Alto"),"Crítica","Normal")</f>
        <v>Crítica</v>
      </c>
    </row>
  </sheetData>
  <phoneticPr fontId="4" type="noConversion"/>
  <conditionalFormatting sqref="W2:W5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4">
    <dataValidation type="decimal" allowBlank="1" showInputMessage="1" showErrorMessage="1" sqref="U2:U501" xr:uid="{0550BCC6-A413-47B4-98C3-68836C080ACF}">
      <formula1>0</formula1>
      <formula2>100</formula2>
    </dataValidation>
    <dataValidation type="whole" operator="greaterThan" allowBlank="1" showInputMessage="1" showErrorMessage="1" sqref="P2:P501" xr:uid="{AECF816B-C451-4C8B-ADB7-6462B3C63008}">
      <formula1>0</formula1>
    </dataValidation>
    <dataValidation type="decimal" operator="greaterThan" allowBlank="1" showInputMessage="1" showErrorMessage="1" sqref="K2:K501" xr:uid="{3EB1EFE6-8EF1-4A20-8D3E-3D00EADE6B62}">
      <formula1>0</formula1>
    </dataValidation>
    <dataValidation type="date" operator="greaterThan" allowBlank="1" showInputMessage="1" showErrorMessage="1" sqref="R2:R501" xr:uid="{F13C2194-57EF-4441-9E84-A37CE73A4289}">
      <formula1>44024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86C5881-F3B3-49F5-991F-3808A76D1EA8}">
          <x14:formula1>
            <xm:f>Aux!$A$4:$A$8</xm:f>
          </x14:formula1>
          <xm:sqref>C1:C501</xm:sqref>
        </x14:dataValidation>
        <x14:dataValidation type="list" allowBlank="1" showInputMessage="1" showErrorMessage="1" xr:uid="{79771481-D5A8-49D6-84BB-CB3258CFAA5C}">
          <x14:formula1>
            <xm:f>Aux!$C$4:$C$6</xm:f>
          </x14:formula1>
          <xm:sqref>D2:D501</xm:sqref>
        </x14:dataValidation>
        <x14:dataValidation type="list" allowBlank="1" showInputMessage="1" showErrorMessage="1" xr:uid="{084AF82B-92C4-468C-A8F5-02935EB54092}">
          <x14:formula1>
            <xm:f>Aux!$F$4:$F$5</xm:f>
          </x14:formula1>
          <xm:sqref>E2:E501</xm:sqref>
        </x14:dataValidation>
        <x14:dataValidation type="list" allowBlank="1" showInputMessage="1" showErrorMessage="1" xr:uid="{8101CA8D-5D48-4201-9609-92A967EC368A}">
          <x14:formula1>
            <xm:f>Aux!$H$4:$H$6</xm:f>
          </x14:formula1>
          <xm:sqref>F1:F501</xm:sqref>
        </x14:dataValidation>
        <x14:dataValidation type="list" allowBlank="1" showInputMessage="1" showErrorMessage="1" xr:uid="{A14B19E8-1499-4665-9811-40FCCE146F9E}">
          <x14:formula1>
            <xm:f>Aux!$J$4:$J$6</xm:f>
          </x14:formula1>
          <xm:sqref>G2:G501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A3A7-3759-4C74-B90B-FF85311DC740}">
  <sheetPr>
    <tabColor theme="7" tint="-0.249977111117893"/>
  </sheetPr>
  <dimension ref="A1:I54"/>
  <sheetViews>
    <sheetView showGridLines="0" zoomScale="68" zoomScaleNormal="68" workbookViewId="0">
      <selection activeCell="D11" sqref="D11:D22"/>
      <pivotSelection pane="bottomRight" showHeader="1" axis="axisRow" activeRow="22" activeCol="3" previousRow="22" previousCol="3" click="1" r:id="rId8">
        <pivotArea dataOnly="0" labelOnly="1" fieldPosition="0">
          <references count="1">
            <reference field="19" count="0"/>
          </references>
        </pivotArea>
      </pivotSelection>
    </sheetView>
  </sheetViews>
  <sheetFormatPr baseColWidth="10" defaultRowHeight="14.4"/>
  <cols>
    <col min="1" max="1" width="29.21875" bestFit="1" customWidth="1"/>
    <col min="2" max="2" width="42.77734375" bestFit="1" customWidth="1"/>
    <col min="3" max="3" width="11.21875" bestFit="1" customWidth="1"/>
    <col min="4" max="4" width="31.109375" bestFit="1" customWidth="1"/>
    <col min="5" max="5" width="31.44140625" bestFit="1" customWidth="1"/>
    <col min="6" max="6" width="33" bestFit="1" customWidth="1"/>
    <col min="7" max="7" width="12.88671875" bestFit="1" customWidth="1"/>
    <col min="8" max="8" width="8.21875" bestFit="1" customWidth="1"/>
    <col min="9" max="9" width="12.109375" bestFit="1" customWidth="1"/>
  </cols>
  <sheetData>
    <row r="1" spans="1:7">
      <c r="A1" s="37" t="s">
        <v>92</v>
      </c>
      <c r="B1" s="37"/>
    </row>
    <row r="2" spans="1:7">
      <c r="A2" s="26" t="s">
        <v>69</v>
      </c>
      <c r="B2" s="26" t="s">
        <v>1</v>
      </c>
    </row>
    <row r="3" spans="1:7">
      <c r="A3" s="26" t="s">
        <v>100</v>
      </c>
      <c r="B3" t="s">
        <v>27</v>
      </c>
      <c r="C3" t="s">
        <v>17</v>
      </c>
      <c r="D3" t="s">
        <v>25</v>
      </c>
      <c r="E3" t="s">
        <v>21</v>
      </c>
      <c r="F3" t="s">
        <v>12</v>
      </c>
      <c r="G3" t="s">
        <v>67</v>
      </c>
    </row>
    <row r="4" spans="1:7">
      <c r="A4" s="27" t="s">
        <v>13</v>
      </c>
      <c r="B4" s="23">
        <v>183426.52000000005</v>
      </c>
      <c r="C4" s="23">
        <v>187688.98999999996</v>
      </c>
      <c r="D4" s="23">
        <v>173451.38</v>
      </c>
      <c r="E4" s="23">
        <v>137800.32000000001</v>
      </c>
      <c r="F4" s="23">
        <v>163769.49999999997</v>
      </c>
      <c r="G4" s="23">
        <v>846136.71</v>
      </c>
    </row>
    <row r="5" spans="1:7">
      <c r="A5" s="27" t="s">
        <v>18</v>
      </c>
      <c r="B5" s="23">
        <v>197263.08999999997</v>
      </c>
      <c r="C5" s="23">
        <v>153503.65000000002</v>
      </c>
      <c r="D5" s="23">
        <v>181460.42</v>
      </c>
      <c r="E5" s="23">
        <v>170653.68000000002</v>
      </c>
      <c r="F5" s="23">
        <v>214100.41000000009</v>
      </c>
      <c r="G5" s="23">
        <v>916981.25000000023</v>
      </c>
    </row>
    <row r="6" spans="1:7">
      <c r="A6" s="27" t="s">
        <v>23</v>
      </c>
      <c r="B6" s="23">
        <v>193650.51999999996</v>
      </c>
      <c r="C6" s="23">
        <v>127977.11</v>
      </c>
      <c r="D6" s="23">
        <v>124018.59</v>
      </c>
      <c r="E6" s="23">
        <v>169731.46000000002</v>
      </c>
      <c r="F6" s="23">
        <v>200891.04</v>
      </c>
      <c r="G6" s="23">
        <v>816268.72</v>
      </c>
    </row>
    <row r="7" spans="1:7">
      <c r="A7" s="27" t="s">
        <v>67</v>
      </c>
      <c r="B7" s="23">
        <v>574340.12999999989</v>
      </c>
      <c r="C7" s="23">
        <v>469169.75</v>
      </c>
      <c r="D7" s="23">
        <v>478930.39</v>
      </c>
      <c r="E7" s="23">
        <v>478185.46</v>
      </c>
      <c r="F7" s="23">
        <v>578760.95000000007</v>
      </c>
      <c r="G7" s="23">
        <v>2579386.6800000002</v>
      </c>
    </row>
    <row r="9" spans="1:7">
      <c r="A9" s="37" t="s">
        <v>87</v>
      </c>
      <c r="B9" s="37"/>
      <c r="D9" s="37" t="s">
        <v>98</v>
      </c>
      <c r="E9" s="37"/>
    </row>
    <row r="10" spans="1:7">
      <c r="A10" s="26" t="s">
        <v>100</v>
      </c>
      <c r="B10" t="s">
        <v>101</v>
      </c>
      <c r="D10" s="26" t="s">
        <v>103</v>
      </c>
      <c r="E10" t="s">
        <v>102</v>
      </c>
    </row>
    <row r="11" spans="1:7">
      <c r="A11" s="27" t="s">
        <v>13</v>
      </c>
      <c r="B11" s="11">
        <v>27918258.338227645</v>
      </c>
      <c r="D11" s="27" t="s">
        <v>78</v>
      </c>
      <c r="E11" s="23">
        <v>86283.310000000012</v>
      </c>
    </row>
    <row r="12" spans="1:7">
      <c r="A12" s="27" t="s">
        <v>18</v>
      </c>
      <c r="B12" s="11">
        <v>39599309.164200172</v>
      </c>
      <c r="D12" s="27" t="s">
        <v>80</v>
      </c>
      <c r="E12" s="23">
        <v>86895.709999999977</v>
      </c>
    </row>
    <row r="13" spans="1:7">
      <c r="A13" s="27" t="s">
        <v>23</v>
      </c>
      <c r="B13" s="11">
        <v>41431166.336501539</v>
      </c>
      <c r="D13" s="27" t="s">
        <v>75</v>
      </c>
      <c r="E13" s="23">
        <v>74431.009999999995</v>
      </c>
    </row>
    <row r="14" spans="1:7">
      <c r="A14" s="27" t="s">
        <v>67</v>
      </c>
      <c r="B14" s="11">
        <v>36303730.870769121</v>
      </c>
      <c r="D14" s="27" t="s">
        <v>83</v>
      </c>
      <c r="E14" s="23">
        <v>77235.87</v>
      </c>
    </row>
    <row r="15" spans="1:7">
      <c r="D15" s="27" t="s">
        <v>77</v>
      </c>
      <c r="E15" s="23">
        <v>107494.89000000001</v>
      </c>
    </row>
    <row r="16" spans="1:7">
      <c r="A16" s="37" t="s">
        <v>89</v>
      </c>
      <c r="B16" s="37"/>
      <c r="D16" s="27" t="s">
        <v>84</v>
      </c>
      <c r="E16" s="23">
        <v>72422.06</v>
      </c>
    </row>
    <row r="17" spans="1:5">
      <c r="A17" s="26" t="s">
        <v>104</v>
      </c>
      <c r="B17" t="s">
        <v>105</v>
      </c>
      <c r="D17" s="27" t="s">
        <v>74</v>
      </c>
      <c r="E17" s="23">
        <v>83619.290000000008</v>
      </c>
    </row>
    <row r="18" spans="1:5">
      <c r="A18" s="27" t="s">
        <v>36</v>
      </c>
      <c r="B18">
        <v>83.688228571428553</v>
      </c>
      <c r="D18" s="27" t="s">
        <v>79</v>
      </c>
      <c r="E18" s="23">
        <v>78279.009999999966</v>
      </c>
    </row>
    <row r="19" spans="1:5">
      <c r="A19" s="27" t="s">
        <v>35</v>
      </c>
      <c r="B19">
        <v>84.322893081760995</v>
      </c>
      <c r="D19" s="27" t="s">
        <v>81</v>
      </c>
      <c r="E19" s="23">
        <v>70922.63</v>
      </c>
    </row>
    <row r="20" spans="1:5">
      <c r="A20" s="27" t="s">
        <v>37</v>
      </c>
      <c r="B20">
        <v>84.268674698795166</v>
      </c>
      <c r="D20" s="27" t="s">
        <v>82</v>
      </c>
      <c r="E20" s="23">
        <v>94115.249999999985</v>
      </c>
    </row>
    <row r="21" spans="1:5">
      <c r="A21" s="27" t="s">
        <v>67</v>
      </c>
      <c r="B21">
        <v>84.082759999999951</v>
      </c>
      <c r="D21" s="27" t="s">
        <v>73</v>
      </c>
      <c r="E21" s="23">
        <v>83486.52</v>
      </c>
    </row>
    <row r="22" spans="1:5">
      <c r="D22" s="27" t="s">
        <v>76</v>
      </c>
      <c r="E22" s="23">
        <v>80655.689999999959</v>
      </c>
    </row>
    <row r="23" spans="1:5">
      <c r="D23" s="27" t="s">
        <v>67</v>
      </c>
      <c r="E23" s="23">
        <v>995841.24</v>
      </c>
    </row>
    <row r="24" spans="1:5">
      <c r="A24" s="37" t="s">
        <v>91</v>
      </c>
      <c r="B24" s="37"/>
    </row>
    <row r="25" spans="1:5">
      <c r="A25" s="26" t="s">
        <v>68</v>
      </c>
      <c r="B25" s="26" t="s">
        <v>106</v>
      </c>
    </row>
    <row r="26" spans="1:5">
      <c r="A26" s="26" t="s">
        <v>100</v>
      </c>
      <c r="B26" t="s">
        <v>20</v>
      </c>
      <c r="C26" t="s">
        <v>16</v>
      </c>
      <c r="D26" t="s">
        <v>22</v>
      </c>
      <c r="E26" t="s">
        <v>67</v>
      </c>
    </row>
    <row r="27" spans="1:5">
      <c r="A27" s="27" t="s">
        <v>13</v>
      </c>
      <c r="B27">
        <v>45</v>
      </c>
      <c r="C27">
        <v>60</v>
      </c>
      <c r="D27">
        <v>61</v>
      </c>
      <c r="E27">
        <v>166</v>
      </c>
    </row>
    <row r="28" spans="1:5">
      <c r="A28" s="27" t="s">
        <v>18</v>
      </c>
      <c r="B28">
        <v>55</v>
      </c>
      <c r="C28">
        <v>53</v>
      </c>
      <c r="D28">
        <v>67</v>
      </c>
      <c r="E28">
        <v>175</v>
      </c>
    </row>
    <row r="29" spans="1:5">
      <c r="A29" s="27" t="s">
        <v>23</v>
      </c>
      <c r="B29">
        <v>42</v>
      </c>
      <c r="C29">
        <v>55</v>
      </c>
      <c r="D29">
        <v>62</v>
      </c>
      <c r="E29">
        <v>159</v>
      </c>
    </row>
    <row r="30" spans="1:5">
      <c r="A30" s="27" t="s">
        <v>67</v>
      </c>
      <c r="B30">
        <v>142</v>
      </c>
      <c r="C30">
        <v>168</v>
      </c>
      <c r="D30">
        <v>190</v>
      </c>
      <c r="E30">
        <v>500</v>
      </c>
    </row>
    <row r="32" spans="1:5">
      <c r="A32" s="37" t="s">
        <v>90</v>
      </c>
      <c r="B32" s="37"/>
    </row>
    <row r="33" spans="1:9">
      <c r="A33" s="26" t="s">
        <v>86</v>
      </c>
      <c r="B33" s="26" t="s">
        <v>107</v>
      </c>
    </row>
    <row r="34" spans="1:9">
      <c r="A34" s="26" t="s">
        <v>108</v>
      </c>
      <c r="B34" t="s">
        <v>24</v>
      </c>
      <c r="C34" t="s">
        <v>26</v>
      </c>
      <c r="D34" t="s">
        <v>15</v>
      </c>
      <c r="E34" t="s">
        <v>67</v>
      </c>
    </row>
    <row r="35" spans="1:9">
      <c r="A35" s="27" t="s">
        <v>70</v>
      </c>
      <c r="B35" s="23">
        <v>1899.7372727272725</v>
      </c>
      <c r="C35" s="23">
        <v>1960.5294117647056</v>
      </c>
      <c r="D35" s="23">
        <v>1989.6705660377363</v>
      </c>
      <c r="E35" s="23">
        <v>1952.8917567567571</v>
      </c>
    </row>
    <row r="36" spans="1:9">
      <c r="A36" s="27" t="s">
        <v>71</v>
      </c>
      <c r="B36" s="23">
        <v>2139.1036363636363</v>
      </c>
      <c r="C36" s="23">
        <v>1985.8465624999999</v>
      </c>
      <c r="D36" s="23">
        <v>1946.1934375000001</v>
      </c>
      <c r="E36" s="23">
        <v>2024.9041237113408</v>
      </c>
    </row>
    <row r="37" spans="1:9">
      <c r="A37" s="27" t="s">
        <v>72</v>
      </c>
      <c r="B37" s="23">
        <v>2026.3223595505608</v>
      </c>
      <c r="C37" s="23">
        <v>1968.6160975609748</v>
      </c>
      <c r="D37" s="23">
        <v>2007.4803571428577</v>
      </c>
      <c r="E37" s="23">
        <v>2001.5590588235284</v>
      </c>
    </row>
    <row r="38" spans="1:9">
      <c r="A38" s="27" t="s">
        <v>67</v>
      </c>
      <c r="B38" s="23">
        <v>2015.190060240963</v>
      </c>
      <c r="C38" s="23">
        <v>1969.4582424242424</v>
      </c>
      <c r="D38" s="23">
        <v>1990.2904142011828</v>
      </c>
      <c r="E38" s="23">
        <v>1991.6824799999997</v>
      </c>
    </row>
    <row r="40" spans="1:9">
      <c r="I40" s="11"/>
    </row>
    <row r="41" spans="1:9">
      <c r="A41" s="38" t="s">
        <v>88</v>
      </c>
      <c r="B41" s="38"/>
    </row>
    <row r="42" spans="1:9">
      <c r="A42" s="26" t="s">
        <v>109</v>
      </c>
      <c r="B42" t="s">
        <v>85</v>
      </c>
      <c r="E42" s="26" t="s">
        <v>110</v>
      </c>
      <c r="F42" t="s">
        <v>111</v>
      </c>
    </row>
    <row r="43" spans="1:9">
      <c r="A43" s="27" t="s">
        <v>24</v>
      </c>
      <c r="B43" s="23">
        <v>7.1428041898476931</v>
      </c>
      <c r="E43" s="27" t="s">
        <v>14</v>
      </c>
      <c r="F43" s="11">
        <v>149722012918.61005</v>
      </c>
    </row>
    <row r="44" spans="1:9">
      <c r="A44" s="27" t="s">
        <v>26</v>
      </c>
      <c r="B44" s="23">
        <v>7.3609343506092966</v>
      </c>
      <c r="E44" s="27" t="s">
        <v>19</v>
      </c>
      <c r="F44" s="11">
        <v>186870119254.19086</v>
      </c>
    </row>
    <row r="45" spans="1:9">
      <c r="A45" s="27" t="s">
        <v>15</v>
      </c>
      <c r="B45" s="23">
        <v>6.525581139216432</v>
      </c>
      <c r="E45" s="27" t="s">
        <v>67</v>
      </c>
      <c r="F45" s="11">
        <v>167627400172.35999</v>
      </c>
    </row>
    <row r="46" spans="1:9">
      <c r="A46" s="27" t="s">
        <v>67</v>
      </c>
      <c r="B46" s="28">
        <v>7.0061657517856535</v>
      </c>
    </row>
    <row r="49" spans="1:6" ht="15" thickBot="1">
      <c r="A49" s="31">
        <f ca="1">TODAY()</f>
        <v>45806</v>
      </c>
      <c r="F49" t="s">
        <v>97</v>
      </c>
    </row>
    <row r="50" spans="1:6">
      <c r="B50" s="36" t="s">
        <v>93</v>
      </c>
      <c r="D50" s="36" t="s">
        <v>94</v>
      </c>
    </row>
    <row r="51" spans="1:6" ht="15" thickBot="1">
      <c r="B51" s="32">
        <f>AVERAGE(Tb_prod[Costo_Promedio_Por_Tonelada])</f>
        <v>36303730.870769143</v>
      </c>
      <c r="D51" s="34">
        <f>SUM(Tb_prod[Producción_Toneladas])</f>
        <v>2579386.6799999988</v>
      </c>
    </row>
    <row r="52" spans="1:6" ht="15" thickBot="1"/>
    <row r="53" spans="1:6">
      <c r="B53" s="35" t="s">
        <v>95</v>
      </c>
      <c r="D53" s="36" t="s">
        <v>96</v>
      </c>
    </row>
    <row r="54" spans="1:6" ht="15" thickBot="1">
      <c r="B54" s="28">
        <f>AVERAGE(Tb_prod[Recuperación_Metal_Porcentaje])</f>
        <v>84.082759999999936</v>
      </c>
      <c r="D54" s="33">
        <f>SUM(Tb_prod[Consumo_Energia_MWh])</f>
        <v>995841.24000000092</v>
      </c>
    </row>
  </sheetData>
  <mergeCells count="7">
    <mergeCell ref="A32:B32"/>
    <mergeCell ref="A41:B41"/>
    <mergeCell ref="D9:E9"/>
    <mergeCell ref="A1:B1"/>
    <mergeCell ref="A9:B9"/>
    <mergeCell ref="A16:B16"/>
    <mergeCell ref="A24:B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318CB-F058-433C-9F7E-8239B4714365}">
  <sheetPr>
    <tabColor rgb="FFFFFF00"/>
  </sheetPr>
  <dimension ref="R1"/>
  <sheetViews>
    <sheetView showGridLines="0" tabSelected="1" zoomScale="95" zoomScaleNormal="95" workbookViewId="0">
      <selection activeCell="Q19" sqref="Q19"/>
    </sheetView>
  </sheetViews>
  <sheetFormatPr baseColWidth="10" defaultRowHeight="14.4"/>
  <cols>
    <col min="18" max="18" width="11.5546875" style="30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33804-9342-4C07-96FF-E18BD5AC8820}">
  <sheetPr>
    <tabColor theme="6"/>
  </sheetPr>
  <dimension ref="A1:D45"/>
  <sheetViews>
    <sheetView zoomScale="72" zoomScaleNormal="72" workbookViewId="0">
      <selection activeCell="T53" sqref="T53"/>
    </sheetView>
  </sheetViews>
  <sheetFormatPr baseColWidth="10" defaultRowHeight="14.4"/>
  <cols>
    <col min="1" max="1" width="42.21875" style="3" customWidth="1"/>
    <col min="2" max="2" width="27.5546875" style="3" customWidth="1"/>
    <col min="3" max="3" width="15.6640625" style="3" customWidth="1"/>
    <col min="4" max="4" width="22.6640625" customWidth="1"/>
  </cols>
  <sheetData>
    <row r="1" spans="1:4" ht="15" thickBot="1">
      <c r="A1" s="4"/>
      <c r="B1" s="4"/>
      <c r="C1" s="4"/>
      <c r="D1" s="2"/>
    </row>
    <row r="2" spans="1:4">
      <c r="A2" s="42" t="s">
        <v>50</v>
      </c>
      <c r="B2" s="43"/>
      <c r="C2" s="43"/>
      <c r="D2" s="44"/>
    </row>
    <row r="3" spans="1:4">
      <c r="A3" s="13" t="s">
        <v>28</v>
      </c>
      <c r="B3" s="4">
        <f>COUNTIF(Tb_prod[Producción_Toneladas], "&gt;1000")</f>
        <v>500</v>
      </c>
      <c r="C3" s="4"/>
      <c r="D3" s="14"/>
    </row>
    <row r="4" spans="1:4">
      <c r="A4" s="15"/>
      <c r="B4" s="4"/>
      <c r="C4" s="4"/>
      <c r="D4" s="14"/>
    </row>
    <row r="5" spans="1:4">
      <c r="A5" s="39" t="s">
        <v>51</v>
      </c>
      <c r="B5" s="40"/>
      <c r="C5" s="40"/>
      <c r="D5" s="41"/>
    </row>
    <row r="6" spans="1:4">
      <c r="A6" s="13" t="s">
        <v>29</v>
      </c>
      <c r="B6" s="4">
        <f>COUNTIFS( Tb_prod[Región], "Sur", Tb_prod[Consumo_Energia_MWh], "&lt;200000")</f>
        <v>159</v>
      </c>
      <c r="C6" s="4"/>
      <c r="D6" s="14"/>
    </row>
    <row r="7" spans="1:4">
      <c r="A7" s="15"/>
      <c r="B7" s="4"/>
      <c r="C7" s="4"/>
      <c r="D7" s="14"/>
    </row>
    <row r="8" spans="1:4">
      <c r="A8" s="39" t="s">
        <v>52</v>
      </c>
      <c r="B8" s="40"/>
      <c r="C8" s="40"/>
      <c r="D8" s="41"/>
    </row>
    <row r="9" spans="1:4">
      <c r="A9" s="13" t="s">
        <v>28</v>
      </c>
      <c r="B9" s="4">
        <f>COUNTIF(Tb_prod[Riesgo_Ambiental], "Alto")</f>
        <v>142</v>
      </c>
      <c r="C9" s="4"/>
      <c r="D9" s="14"/>
    </row>
    <row r="10" spans="1:4">
      <c r="A10" s="15"/>
      <c r="B10" s="4"/>
      <c r="C10" s="4"/>
      <c r="D10" s="14"/>
    </row>
    <row r="11" spans="1:4">
      <c r="A11" s="39" t="s">
        <v>53</v>
      </c>
      <c r="B11" s="40"/>
      <c r="C11" s="40"/>
      <c r="D11" s="41"/>
    </row>
    <row r="12" spans="1:4">
      <c r="A12" s="13" t="s">
        <v>48</v>
      </c>
      <c r="B12" s="4">
        <f>AVERAGEIF(Tb_prod[[#This Row],[Región]], "Norte", Tb_prod[[#This Row],[Costo_Promedio_Por_Tonelada]])</f>
        <v>35129188.33924152</v>
      </c>
      <c r="C12"/>
      <c r="D12" s="14"/>
    </row>
    <row r="13" spans="1:4">
      <c r="A13" s="15"/>
      <c r="B13" s="4"/>
      <c r="C13" s="4"/>
      <c r="D13" s="14"/>
    </row>
    <row r="14" spans="1:4">
      <c r="A14" s="39" t="s">
        <v>54</v>
      </c>
      <c r="B14" s="40"/>
      <c r="C14" s="40"/>
      <c r="D14" s="41"/>
    </row>
    <row r="15" spans="1:4">
      <c r="A15" s="13" t="s">
        <v>30</v>
      </c>
      <c r="B15" s="4">
        <f>AVERAGEIF(Tb_prod[[#This Row],[Metodo_Extraccion]], "Subterranea", Tb_prod[[#This Row],[Agua_Consumida_m3]])</f>
        <v>26758.46</v>
      </c>
      <c r="C15" s="4"/>
      <c r="D15" s="14"/>
    </row>
    <row r="16" spans="1:4">
      <c r="A16" s="15"/>
      <c r="B16" s="4"/>
      <c r="C16" s="4"/>
      <c r="D16" s="14"/>
    </row>
    <row r="17" spans="1:4">
      <c r="A17" s="39" t="s">
        <v>55</v>
      </c>
      <c r="B17" s="40"/>
      <c r="C17" s="40"/>
      <c r="D17" s="41"/>
    </row>
    <row r="18" spans="1:4">
      <c r="A18" s="13" t="s">
        <v>31</v>
      </c>
      <c r="B18" s="4">
        <f>MAX(Tb_prod[Recuperación_Metal_Porcentaje])</f>
        <v>99</v>
      </c>
      <c r="C18" s="16" t="s">
        <v>32</v>
      </c>
      <c r="D18" s="14">
        <f>MIN(Tb_prod[Recuperación_Metal_Porcentaje])</f>
        <v>70.02</v>
      </c>
    </row>
    <row r="19" spans="1:4">
      <c r="A19" s="15"/>
      <c r="B19" s="4"/>
      <c r="C19" s="4"/>
      <c r="D19" s="14"/>
    </row>
    <row r="20" spans="1:4">
      <c r="A20" s="39" t="s">
        <v>56</v>
      </c>
      <c r="B20" s="40"/>
      <c r="C20" s="40"/>
      <c r="D20" s="41"/>
    </row>
    <row r="21" spans="1:4">
      <c r="A21" s="13" t="s">
        <v>29</v>
      </c>
      <c r="B21" s="4">
        <f>COUNTIFS(Tb_prod[Metodo_Extraccion],"Subterranea",Tb_prod[Riesgo_Ambiental],"Alto")</f>
        <v>73</v>
      </c>
      <c r="C21" s="4"/>
      <c r="D21" s="14"/>
    </row>
    <row r="22" spans="1:4">
      <c r="A22" s="15"/>
      <c r="B22" s="4"/>
      <c r="C22" s="4"/>
      <c r="D22" s="14"/>
    </row>
    <row r="23" spans="1:4">
      <c r="A23" s="39" t="s">
        <v>57</v>
      </c>
      <c r="B23" s="40"/>
      <c r="C23" s="40"/>
      <c r="D23" s="41"/>
    </row>
    <row r="24" spans="1:4">
      <c r="A24" s="13" t="s">
        <v>49</v>
      </c>
      <c r="B24" s="4">
        <f>AVERAGEIF(Tb_prod[Tecnología_Utilizada],"Avanzada",Tb_prod[Emisiones_CO2_ton])</f>
        <v>1002.0299999999997</v>
      </c>
      <c r="C24" s="4"/>
      <c r="D24" s="14"/>
    </row>
    <row r="25" spans="1:4">
      <c r="A25" s="15"/>
      <c r="B25" s="4"/>
      <c r="C25" s="4"/>
      <c r="D25" s="14"/>
    </row>
    <row r="26" spans="1:4">
      <c r="A26" s="39" t="s">
        <v>58</v>
      </c>
      <c r="B26" s="40"/>
      <c r="C26" s="40"/>
      <c r="D26" s="41"/>
    </row>
    <row r="27" spans="1:4">
      <c r="A27" s="13" t="s">
        <v>49</v>
      </c>
      <c r="B27" s="4">
        <f>AVERAGEIF(Tb_prod[Recuperación_Metal_Porcentaje],"&gt;90",Tb_prod[Costo_Operativo_CLP])</f>
        <v>150126501549.5946</v>
      </c>
      <c r="C27" s="4"/>
      <c r="D27" s="14"/>
    </row>
    <row r="28" spans="1:4">
      <c r="A28" s="15"/>
      <c r="B28" s="4"/>
      <c r="C28" s="4"/>
      <c r="D28" s="14"/>
    </row>
    <row r="29" spans="1:4">
      <c r="A29" s="39" t="s">
        <v>59</v>
      </c>
      <c r="B29" s="40"/>
      <c r="C29" s="40"/>
      <c r="D29" s="41"/>
    </row>
    <row r="30" spans="1:4">
      <c r="A30" s="13" t="s">
        <v>29</v>
      </c>
      <c r="B30" s="4">
        <f>COUNTIFS(Tb_prod[Clasificación por eficiencia],"Alta",Tb_prod[Tecnología_Utilizada],"Mixta")</f>
        <v>53</v>
      </c>
      <c r="C30" s="4"/>
      <c r="D30" s="14"/>
    </row>
    <row r="31" spans="1:4">
      <c r="A31" s="17"/>
      <c r="D31" s="18"/>
    </row>
    <row r="32" spans="1:4">
      <c r="A32" s="46" t="s">
        <v>60</v>
      </c>
      <c r="B32" s="47"/>
      <c r="C32" s="47"/>
      <c r="D32" s="48"/>
    </row>
    <row r="33" spans="1:4">
      <c r="A33" s="19" t="s">
        <v>28</v>
      </c>
      <c r="B33" s="3">
        <f>COUNTIFS(Tb_prod[Agua_Consumida_m3],"&gt;50000",Tb_prod[Región],"Sur")</f>
        <v>72</v>
      </c>
      <c r="D33" s="18"/>
    </row>
    <row r="34" spans="1:4">
      <c r="A34" s="17"/>
      <c r="D34" s="18"/>
    </row>
    <row r="35" spans="1:4">
      <c r="A35" s="46" t="s">
        <v>61</v>
      </c>
      <c r="B35" s="47"/>
      <c r="C35" s="47"/>
      <c r="D35" s="48"/>
    </row>
    <row r="36" spans="1:4">
      <c r="A36" s="13" t="s">
        <v>29</v>
      </c>
      <c r="B36" s="3">
        <f>COUNTIFS(Tb_prod[Clasificación por eficiencia],"Alta",Tb_prod[Tecnología_Utilizada],"Mixta")</f>
        <v>53</v>
      </c>
      <c r="D36" s="18"/>
    </row>
    <row r="37" spans="1:4">
      <c r="A37" s="17"/>
      <c r="D37" s="18"/>
    </row>
    <row r="38" spans="1:4">
      <c r="A38" s="46" t="s">
        <v>62</v>
      </c>
      <c r="B38" s="47"/>
      <c r="C38" s="47"/>
      <c r="D38" s="48"/>
    </row>
    <row r="39" spans="1:4" ht="15" thickBot="1">
      <c r="A39" s="20" t="s">
        <v>48</v>
      </c>
      <c r="B39" s="29">
        <f>AVERAGEIF(Tb_prod[Recuperación_Metal_Porcentaje],"&gt;90",Tb_prod[Costo_Operativo_CLP])</f>
        <v>150126501549.5946</v>
      </c>
      <c r="C39" s="21"/>
      <c r="D39" s="22"/>
    </row>
    <row r="41" spans="1:4">
      <c r="A41" s="45" t="s">
        <v>64</v>
      </c>
      <c r="B41" s="45"/>
      <c r="C41" s="45"/>
      <c r="D41" s="45"/>
    </row>
    <row r="42" spans="1:4">
      <c r="A42" s="25" t="s">
        <v>66</v>
      </c>
      <c r="B42" s="3">
        <f>INDEX(Tb_prod[Consumo_Energia_MWh], MATCH("Minera Staff",Tb_prod[nombre], 0))</f>
        <v>1673.73</v>
      </c>
    </row>
    <row r="44" spans="1:4">
      <c r="A44" s="45" t="s">
        <v>65</v>
      </c>
      <c r="B44" s="45"/>
      <c r="C44" s="45"/>
      <c r="D44" s="45"/>
    </row>
    <row r="45" spans="1:4">
      <c r="A45" s="25" t="s">
        <v>66</v>
      </c>
      <c r="B45" s="3" t="str">
        <f>INDEX(Tb_prod[nombre], MATCH(MIN(Tb_prod[Costo_Promedio_Por_Tonelada]), Tb_prod[Costo_Promedio_Por_Tonelada], 0))</f>
        <v>Minera del Norte</v>
      </c>
    </row>
  </sheetData>
  <mergeCells count="15">
    <mergeCell ref="A41:D41"/>
    <mergeCell ref="A44:D44"/>
    <mergeCell ref="A32:D32"/>
    <mergeCell ref="A35:D35"/>
    <mergeCell ref="A38:D38"/>
    <mergeCell ref="A2:D2"/>
    <mergeCell ref="A5:D5"/>
    <mergeCell ref="A8:D8"/>
    <mergeCell ref="A11:D11"/>
    <mergeCell ref="A14:D14"/>
    <mergeCell ref="A29:D29"/>
    <mergeCell ref="A17:D17"/>
    <mergeCell ref="A20:D20"/>
    <mergeCell ref="A23:D23"/>
    <mergeCell ref="A26:D2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5EE9F-1C80-4DE3-AE73-B90585C0049B}">
  <sheetPr>
    <tabColor rgb="FFFFC000"/>
  </sheetPr>
  <dimension ref="A3:J8"/>
  <sheetViews>
    <sheetView zoomScale="85" workbookViewId="0">
      <selection activeCell="J15" sqref="J15"/>
    </sheetView>
  </sheetViews>
  <sheetFormatPr baseColWidth="10" defaultRowHeight="14.4"/>
  <cols>
    <col min="1" max="1" width="13.6640625" customWidth="1"/>
    <col min="2" max="2" width="15.21875" customWidth="1"/>
    <col min="3" max="3" width="13.5546875" customWidth="1"/>
    <col min="4" max="4" width="15.21875" bestFit="1" customWidth="1"/>
    <col min="6" max="6" width="23.77734375" bestFit="1" customWidth="1"/>
    <col min="8" max="8" width="24.77734375" customWidth="1"/>
    <col min="10" max="10" width="23.6640625" customWidth="1"/>
  </cols>
  <sheetData>
    <row r="3" spans="1:10">
      <c r="A3" s="1" t="s">
        <v>1</v>
      </c>
      <c r="C3" s="7" t="s">
        <v>2</v>
      </c>
      <c r="D3" s="8" t="s">
        <v>34</v>
      </c>
      <c r="F3" s="1" t="s">
        <v>3</v>
      </c>
      <c r="H3" s="1" t="s">
        <v>9</v>
      </c>
      <c r="J3" s="1" t="s">
        <v>10</v>
      </c>
    </row>
    <row r="4" spans="1:10">
      <c r="A4" t="s">
        <v>25</v>
      </c>
      <c r="C4" s="4" t="s">
        <v>23</v>
      </c>
      <c r="D4" s="4" t="s">
        <v>35</v>
      </c>
      <c r="F4" t="s">
        <v>19</v>
      </c>
      <c r="H4" t="s">
        <v>26</v>
      </c>
      <c r="J4" t="s">
        <v>16</v>
      </c>
    </row>
    <row r="5" spans="1:10">
      <c r="A5" t="s">
        <v>27</v>
      </c>
      <c r="C5" s="4" t="s">
        <v>18</v>
      </c>
      <c r="D5" s="4" t="s">
        <v>36</v>
      </c>
      <c r="F5" t="s">
        <v>14</v>
      </c>
      <c r="H5" t="s">
        <v>24</v>
      </c>
      <c r="J5" t="s">
        <v>20</v>
      </c>
    </row>
    <row r="6" spans="1:10">
      <c r="A6" t="s">
        <v>21</v>
      </c>
      <c r="C6" s="4" t="s">
        <v>13</v>
      </c>
      <c r="D6" s="4" t="s">
        <v>37</v>
      </c>
      <c r="H6" t="s">
        <v>15</v>
      </c>
      <c r="J6" t="s">
        <v>22</v>
      </c>
    </row>
    <row r="7" spans="1:10">
      <c r="A7" t="s">
        <v>12</v>
      </c>
    </row>
    <row r="8" spans="1:10">
      <c r="A8" t="s">
        <v>17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A624A-2FBA-467C-99BA-836E3C2FE308}">
  <sheetPr>
    <tabColor rgb="FF00B0F0"/>
  </sheetPr>
  <dimension ref="A1:F65"/>
  <sheetViews>
    <sheetView workbookViewId="0">
      <selection activeCell="J24" sqref="J24"/>
    </sheetView>
  </sheetViews>
  <sheetFormatPr baseColWidth="10" defaultRowHeight="14.4"/>
  <sheetData>
    <row r="1" spans="1:6" ht="15.6">
      <c r="A1" s="51" t="s">
        <v>99</v>
      </c>
      <c r="B1" s="51"/>
      <c r="C1" s="51"/>
      <c r="D1" s="51"/>
      <c r="E1" s="51"/>
      <c r="F1" s="51"/>
    </row>
    <row r="3" spans="1:6">
      <c r="A3" t="s">
        <v>136</v>
      </c>
    </row>
    <row r="4" spans="1:6">
      <c r="A4" t="s">
        <v>137</v>
      </c>
    </row>
    <row r="5" spans="1:6">
      <c r="A5" t="s">
        <v>138</v>
      </c>
    </row>
    <row r="7" spans="1:6" ht="15.6">
      <c r="A7" s="51" t="s">
        <v>131</v>
      </c>
      <c r="B7" s="51"/>
      <c r="C7" s="51"/>
      <c r="D7" s="51"/>
      <c r="E7" s="51"/>
      <c r="F7" s="51"/>
    </row>
    <row r="8" spans="1:6">
      <c r="A8" s="49"/>
    </row>
    <row r="9" spans="1:6">
      <c r="A9" s="49" t="s">
        <v>112</v>
      </c>
    </row>
    <row r="10" spans="1:6">
      <c r="A10" s="49"/>
    </row>
    <row r="11" spans="1:6">
      <c r="A11" s="49" t="s">
        <v>113</v>
      </c>
    </row>
    <row r="12" spans="1:6">
      <c r="A12" s="49"/>
    </row>
    <row r="13" spans="1:6">
      <c r="A13" s="49" t="s">
        <v>114</v>
      </c>
    </row>
    <row r="14" spans="1:6">
      <c r="A14" s="49"/>
    </row>
    <row r="15" spans="1:6">
      <c r="A15" s="49" t="s">
        <v>115</v>
      </c>
    </row>
    <row r="16" spans="1:6">
      <c r="A16" s="49"/>
    </row>
    <row r="17" spans="1:6">
      <c r="A17" s="49" t="s">
        <v>116</v>
      </c>
    </row>
    <row r="21" spans="1:6" ht="15.6">
      <c r="A21" s="51" t="s">
        <v>132</v>
      </c>
      <c r="B21" s="51"/>
      <c r="C21" s="51"/>
      <c r="D21" s="51"/>
      <c r="E21" s="51"/>
      <c r="F21" s="51"/>
    </row>
    <row r="22" spans="1:6">
      <c r="A22" s="49"/>
    </row>
    <row r="23" spans="1:6">
      <c r="A23" s="50" t="s">
        <v>117</v>
      </c>
    </row>
    <row r="24" spans="1:6">
      <c r="A24" s="49"/>
    </row>
    <row r="25" spans="1:6">
      <c r="A25" s="50" t="s">
        <v>118</v>
      </c>
    </row>
    <row r="26" spans="1:6">
      <c r="A26" s="49"/>
    </row>
    <row r="27" spans="1:6">
      <c r="A27" s="50" t="s">
        <v>119</v>
      </c>
    </row>
    <row r="28" spans="1:6">
      <c r="A28" s="49"/>
    </row>
    <row r="29" spans="1:6">
      <c r="A29" s="50" t="s">
        <v>120</v>
      </c>
    </row>
    <row r="33" spans="1:6" ht="15.6">
      <c r="A33" s="51" t="s">
        <v>133</v>
      </c>
      <c r="B33" s="51"/>
      <c r="C33" s="51"/>
      <c r="D33" s="51"/>
      <c r="E33" s="51"/>
      <c r="F33" s="51"/>
    </row>
    <row r="34" spans="1:6">
      <c r="A34" s="49"/>
    </row>
    <row r="35" spans="1:6">
      <c r="A35" s="49" t="s">
        <v>121</v>
      </c>
    </row>
    <row r="36" spans="1:6">
      <c r="A36" s="49"/>
    </row>
    <row r="37" spans="1:6">
      <c r="A37" s="49" t="s">
        <v>122</v>
      </c>
    </row>
    <row r="38" spans="1:6">
      <c r="A38" s="49"/>
      <c r="E38" s="3"/>
    </row>
    <row r="39" spans="1:6">
      <c r="A39" s="49" t="s">
        <v>123</v>
      </c>
    </row>
    <row r="40" spans="1:6">
      <c r="A40" s="49"/>
    </row>
    <row r="41" spans="1:6">
      <c r="A41" s="50" t="s">
        <v>124</v>
      </c>
    </row>
    <row r="42" spans="1:6">
      <c r="A42" s="49"/>
    </row>
    <row r="43" spans="1:6">
      <c r="A43" s="49" t="s">
        <v>125</v>
      </c>
    </row>
    <row r="47" spans="1:6" ht="15.6">
      <c r="A47" s="51" t="s">
        <v>134</v>
      </c>
      <c r="B47" s="51"/>
      <c r="C47" s="51"/>
      <c r="D47" s="51"/>
      <c r="E47" s="51"/>
      <c r="F47" s="51"/>
    </row>
    <row r="48" spans="1:6">
      <c r="A48" s="49"/>
    </row>
    <row r="49" spans="1:6">
      <c r="A49" s="49" t="s">
        <v>126</v>
      </c>
    </row>
    <row r="50" spans="1:6">
      <c r="A50" s="49"/>
    </row>
    <row r="51" spans="1:6">
      <c r="A51" s="49" t="s">
        <v>127</v>
      </c>
    </row>
    <row r="52" spans="1:6">
      <c r="A52" s="49"/>
    </row>
    <row r="53" spans="1:6">
      <c r="A53" s="49" t="s">
        <v>128</v>
      </c>
    </row>
    <row r="54" spans="1:6">
      <c r="A54" s="49"/>
    </row>
    <row r="55" spans="1:6">
      <c r="A55" s="49" t="s">
        <v>129</v>
      </c>
    </row>
    <row r="56" spans="1:6">
      <c r="A56" s="49"/>
    </row>
    <row r="57" spans="1:6">
      <c r="A57" s="49" t="s">
        <v>130</v>
      </c>
    </row>
    <row r="61" spans="1:6" ht="15.6">
      <c r="A61" s="51" t="s">
        <v>135</v>
      </c>
      <c r="B61" s="51"/>
      <c r="C61" s="51"/>
      <c r="D61" s="51"/>
      <c r="E61" s="51"/>
      <c r="F61" s="51"/>
    </row>
    <row r="63" spans="1:6">
      <c r="A63" t="s">
        <v>139</v>
      </c>
    </row>
    <row r="64" spans="1:6">
      <c r="A64" t="s">
        <v>140</v>
      </c>
    </row>
    <row r="65" spans="1:1">
      <c r="A65" t="s">
        <v>141</v>
      </c>
    </row>
  </sheetData>
  <mergeCells count="6">
    <mergeCell ref="A61:F61"/>
    <mergeCell ref="A47:F47"/>
    <mergeCell ref="A33:F33"/>
    <mergeCell ref="A21:F21"/>
    <mergeCell ref="A7:F7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BD</vt:lpstr>
      <vt:lpstr>TDINAMICA</vt:lpstr>
      <vt:lpstr>DASHBOARD</vt:lpstr>
      <vt:lpstr>Calculos y preguntas</vt:lpstr>
      <vt:lpstr>Aux</vt:lpstr>
      <vt:lpstr>Resumen de analisis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Torres Reyes</cp:lastModifiedBy>
  <dcterms:created xsi:type="dcterms:W3CDTF">2025-04-21T04:58:07Z</dcterms:created>
  <dcterms:modified xsi:type="dcterms:W3CDTF">2025-05-30T02:20:09Z</dcterms:modified>
</cp:coreProperties>
</file>